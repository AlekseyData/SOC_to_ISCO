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etre\Desktop\"/>
    </mc:Choice>
  </mc:AlternateContent>
  <xr:revisionPtr revIDLastSave="0" documentId="13_ncr:1_{9FE8F888-83BB-410E-971E-35F521B5CD8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Automatizace koef" sheetId="1" r:id="rId1"/>
  </sheets>
  <definedNames>
    <definedName name="_xlnm._FilterDatabase" localSheetId="0" hidden="1">'Automatizace koef'!$A$1:$E$703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4" i="1" l="1"/>
  <c r="M5" i="1"/>
  <c r="M6" i="1"/>
  <c r="M3" i="1"/>
  <c r="M7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8" i="1"/>
  <c r="M9" i="1"/>
  <c r="M10" i="1"/>
  <c r="M11" i="1"/>
  <c r="M12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Q9" i="1" l="1" a="1"/>
  <c r="Q9" i="1" s="1"/>
  <c r="Q6" i="1" a="1"/>
  <c r="Q6" i="1" s="1"/>
  <c r="Q7" i="1" a="1"/>
  <c r="Q7" i="1" s="1"/>
  <c r="Q8" i="1" a="1"/>
  <c r="Q8" i="1" s="1"/>
  <c r="P9" i="1" a="1"/>
  <c r="P9" i="1" s="1"/>
  <c r="P10" i="1" a="1"/>
  <c r="P10" i="1" s="1"/>
  <c r="P3" i="1" a="1"/>
  <c r="P3" i="1" s="1"/>
  <c r="P5" i="1" a="1"/>
  <c r="P5" i="1" s="1"/>
  <c r="P6" i="1" a="1"/>
  <c r="P6" i="1" s="1"/>
  <c r="P7" i="1" a="1"/>
  <c r="P7" i="1" s="1"/>
  <c r="P8" i="1" a="1"/>
  <c r="P8" i="1" s="1"/>
  <c r="P4" i="1" a="1"/>
  <c r="P4" i="1" s="1"/>
  <c r="P11" i="1" l="1" a="1"/>
  <c r="P11" i="1" s="1"/>
  <c r="Q5" i="1" a="1"/>
  <c r="Q5" i="1" s="1"/>
  <c r="Q4" i="1" a="1"/>
  <c r="Q4" i="1" s="1"/>
  <c r="Q3" i="1" a="1"/>
  <c r="Q3" i="1" s="1"/>
  <c r="Q11" i="1" a="1"/>
  <c r="Q11" i="1" s="1"/>
  <c r="Q10" i="1" a="1"/>
  <c r="Q10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<sst xmlns="http://schemas.openxmlformats.org/spreadsheetml/2006/main" count="5931" uniqueCount="3211">
  <si>
    <t>ISCO-08 Code</t>
  </si>
  <si>
    <t>ISCO-08 Title EN</t>
  </si>
  <si>
    <t>2010 SOC Code</t>
  </si>
  <si>
    <t>2010 SOC Title</t>
  </si>
  <si>
    <t>Probability</t>
  </si>
  <si>
    <t>29-1125</t>
  </si>
  <si>
    <t>Recreational therapists</t>
  </si>
  <si>
    <t>0110</t>
  </si>
  <si>
    <t>Commissioned armed forces officers</t>
  </si>
  <si>
    <t>55-1011</t>
  </si>
  <si>
    <t>Air Crew Officers</t>
  </si>
  <si>
    <t>49-1011</t>
  </si>
  <si>
    <t>First-line supervisors of mechanics, installers, and repairers</t>
  </si>
  <si>
    <t>55-1012</t>
  </si>
  <si>
    <t>Aircraft Launch and Recovery Officers</t>
  </si>
  <si>
    <t>11-9161</t>
  </si>
  <si>
    <t>Emergency management directors</t>
  </si>
  <si>
    <t>55-1013</t>
  </si>
  <si>
    <t>Armored Assault Vehicle Officers</t>
  </si>
  <si>
    <t>21-1023</t>
  </si>
  <si>
    <t>Mental health and substance abuse social workers</t>
  </si>
  <si>
    <t>55-1014</t>
  </si>
  <si>
    <t>Artillery and Missile Officers</t>
  </si>
  <si>
    <t>29-1181</t>
  </si>
  <si>
    <t>Audiologists</t>
  </si>
  <si>
    <t>55-1015</t>
  </si>
  <si>
    <t>Command and Control Center Officers</t>
  </si>
  <si>
    <t>29-1122</t>
  </si>
  <si>
    <t>Occupational therapists</t>
  </si>
  <si>
    <t>55-1016</t>
  </si>
  <si>
    <t>Infantry Officers</t>
  </si>
  <si>
    <t>29-2091</t>
  </si>
  <si>
    <t>Orthotists and prosthetists</t>
  </si>
  <si>
    <t>55-1017</t>
  </si>
  <si>
    <t>Special Forces Officers</t>
  </si>
  <si>
    <t>21-1022</t>
  </si>
  <si>
    <t>Healthcare social workers</t>
  </si>
  <si>
    <t>55-1019</t>
  </si>
  <si>
    <t>Military Officer Special and Tactical Operations Leaders, All Other</t>
  </si>
  <si>
    <t>29-1022</t>
  </si>
  <si>
    <t>Oral and maxillofacial surgeons</t>
  </si>
  <si>
    <t>0210</t>
  </si>
  <si>
    <t>Non-commissioned armed forces officers</t>
  </si>
  <si>
    <t>55-2011</t>
  </si>
  <si>
    <t>First-Line Supervisors of Air Crew Members</t>
  </si>
  <si>
    <t>33-1021</t>
  </si>
  <si>
    <t>First-line supervisors of fire fighting and prevention workers</t>
  </si>
  <si>
    <t>55-2012</t>
  </si>
  <si>
    <t>First-Line Supervisors of Weapons Specialists/Crew Members</t>
  </si>
  <si>
    <t>29-1031</t>
  </si>
  <si>
    <t>Dietitians and nutritionists</t>
  </si>
  <si>
    <t>55-2013</t>
  </si>
  <si>
    <t>First-Line Supervisors of All Other Tactical Operations Specialists</t>
  </si>
  <si>
    <t>11-9081</t>
  </si>
  <si>
    <t>Lodging managers</t>
  </si>
  <si>
    <t>0310</t>
  </si>
  <si>
    <t>Armed forces occupations, other ranks</t>
  </si>
  <si>
    <t>55-3011</t>
  </si>
  <si>
    <t>Air Crew Members</t>
  </si>
  <si>
    <t>27-2032</t>
  </si>
  <si>
    <t>Choreographers</t>
  </si>
  <si>
    <t>55-3012</t>
  </si>
  <si>
    <t>Aircraft Launch and Recovery Specialists</t>
  </si>
  <si>
    <t>41-9031</t>
  </si>
  <si>
    <t>Sales engineers</t>
  </si>
  <si>
    <t>55-3013</t>
  </si>
  <si>
    <t>Armored Assault Vehicle Crew Members</t>
  </si>
  <si>
    <t>29-1060</t>
  </si>
  <si>
    <t>Physicians and surgeons</t>
  </si>
  <si>
    <t>55-3014</t>
  </si>
  <si>
    <t>Artillery and Missile Crew Members</t>
  </si>
  <si>
    <t>25-9031</t>
  </si>
  <si>
    <t>Instructional coordinators</t>
  </si>
  <si>
    <t>55-3015</t>
  </si>
  <si>
    <t>Command and Control Center Specialists</t>
  </si>
  <si>
    <t>19-3039</t>
  </si>
  <si>
    <t>Psychologists, all other</t>
  </si>
  <si>
    <t>55-3016</t>
  </si>
  <si>
    <t>Infantry</t>
  </si>
  <si>
    <t>33-1012</t>
  </si>
  <si>
    <t>First-line supervisors of police and detectives</t>
  </si>
  <si>
    <t>55-3017</t>
  </si>
  <si>
    <t>Radar and Sonar Technicians</t>
  </si>
  <si>
    <t>29-1021</t>
  </si>
  <si>
    <t>Dentists, general</t>
  </si>
  <si>
    <t>55-3018</t>
  </si>
  <si>
    <t>Special Forces</t>
  </si>
  <si>
    <t>25-2021</t>
  </si>
  <si>
    <t>Elementary school teachers, except special education</t>
  </si>
  <si>
    <t>55-3019</t>
  </si>
  <si>
    <t>Military Enlisted Tactical Operations and Air/Weapons Specialists and Crew Members, All Other</t>
  </si>
  <si>
    <t>19-1042</t>
  </si>
  <si>
    <t>Medical scientists, except epidemiologists</t>
  </si>
  <si>
    <t>1111</t>
  </si>
  <si>
    <t>Legislators</t>
  </si>
  <si>
    <t>11-1031</t>
  </si>
  <si>
    <t>11-9032</t>
  </si>
  <si>
    <t>Education administrators, elementary and secondary school</t>
  </si>
  <si>
    <t>1112</t>
  </si>
  <si>
    <t>Senior government officials</t>
  </si>
  <si>
    <t>11-1011</t>
  </si>
  <si>
    <t>Chief Executives</t>
  </si>
  <si>
    <t>29-1081</t>
  </si>
  <si>
    <t>Podiatrists</t>
  </si>
  <si>
    <t>11-1021</t>
  </si>
  <si>
    <t>General and Operations Managers</t>
  </si>
  <si>
    <t>19-3031</t>
  </si>
  <si>
    <t>Clinical, counseling, and school psychologists</t>
  </si>
  <si>
    <t>Emergency Management Directors</t>
  </si>
  <si>
    <t>21-1014</t>
  </si>
  <si>
    <t>Mental health counselors</t>
  </si>
  <si>
    <t>1113</t>
  </si>
  <si>
    <t>Traditional chiefs and heads of villages</t>
  </si>
  <si>
    <t>51-6092</t>
  </si>
  <si>
    <t>Fabric and apparel patternmakers</t>
  </si>
  <si>
    <t>27-1027</t>
  </si>
  <si>
    <t>Set and exhibit designers</t>
  </si>
  <si>
    <t>1114</t>
  </si>
  <si>
    <t>Senior officials of special-interest organizations</t>
  </si>
  <si>
    <t>11-3121</t>
  </si>
  <si>
    <t>Human resources managers</t>
  </si>
  <si>
    <t>11-2031</t>
  </si>
  <si>
    <t>Public Relations and Fundraising Managers</t>
  </si>
  <si>
    <t>39-9032</t>
  </si>
  <si>
    <t>Recreation workers</t>
  </si>
  <si>
    <t>11-9199</t>
  </si>
  <si>
    <t>Managers, All Other</t>
  </si>
  <si>
    <t>11-3131</t>
  </si>
  <si>
    <t>Training and development managers</t>
  </si>
  <si>
    <t>1120</t>
  </si>
  <si>
    <t>Managing directors and chief executives</t>
  </si>
  <si>
    <t>29-1127</t>
  </si>
  <si>
    <t>Speech-language pathologists</t>
  </si>
  <si>
    <t>15-1121</t>
  </si>
  <si>
    <t>Computer systems analysts</t>
  </si>
  <si>
    <t>1211</t>
  </si>
  <si>
    <t>Finance managers</t>
  </si>
  <si>
    <t>11-3031</t>
  </si>
  <si>
    <t>Financial Managers</t>
  </si>
  <si>
    <t>11-9151</t>
  </si>
  <si>
    <t>Social and community service managers</t>
  </si>
  <si>
    <t>1212</t>
  </si>
  <si>
    <t>Human resource managers</t>
  </si>
  <si>
    <t>11-3111</t>
  </si>
  <si>
    <t>Compensation and Benefits Managers</t>
  </si>
  <si>
    <t>25-4012</t>
  </si>
  <si>
    <t>Curators</t>
  </si>
  <si>
    <t>Human Resources Managers</t>
  </si>
  <si>
    <t>29-9091</t>
  </si>
  <si>
    <t>Athletic trainers</t>
  </si>
  <si>
    <t>Training and Development Managers</t>
  </si>
  <si>
    <t>11-9111</t>
  </si>
  <si>
    <t>Medical and health services managers</t>
  </si>
  <si>
    <t>1213</t>
  </si>
  <si>
    <t>Policy and planning managers</t>
  </si>
  <si>
    <t>25-2011</t>
  </si>
  <si>
    <t>Preschool reachers, except special education</t>
  </si>
  <si>
    <t>1219</t>
  </si>
  <si>
    <t>Business services and administration managers not elsewhere classified</t>
  </si>
  <si>
    <t>25-9021</t>
  </si>
  <si>
    <t>Farm and home management advisors</t>
  </si>
  <si>
    <t>11-3011</t>
  </si>
  <si>
    <t>Administrative Services Managers</t>
  </si>
  <si>
    <t>19-3091</t>
  </si>
  <si>
    <t>Anthropologists and archeologists</t>
  </si>
  <si>
    <t>11-3061</t>
  </si>
  <si>
    <t>Purchasing Managers</t>
  </si>
  <si>
    <t>25-2054</t>
  </si>
  <si>
    <t>Special education teachers, secondary school</t>
  </si>
  <si>
    <t>11-9061</t>
  </si>
  <si>
    <t>Funeral Service Managers</t>
  </si>
  <si>
    <t>25-2031</t>
  </si>
  <si>
    <t>Secondary school teachers, except special and career/technical education</t>
  </si>
  <si>
    <t>11-9131</t>
  </si>
  <si>
    <t>Postmasters and Mail Superintendents</t>
  </si>
  <si>
    <t>21-2011</t>
  </si>
  <si>
    <t>Clergy</t>
  </si>
  <si>
    <t>19-1032</t>
  </si>
  <si>
    <t>Foresters</t>
  </si>
  <si>
    <t>1221</t>
  </si>
  <si>
    <t>Sales and marketing managers</t>
  </si>
  <si>
    <t>11-2021</t>
  </si>
  <si>
    <t>Marketing Managers</t>
  </si>
  <si>
    <t>21-1012</t>
  </si>
  <si>
    <t>Educational, guidance, school, and vocational counselors</t>
  </si>
  <si>
    <t>11-2022</t>
  </si>
  <si>
    <t>Sales Managers</t>
  </si>
  <si>
    <t>25-2032</t>
  </si>
  <si>
    <t>Career/technical education teachers, secondary school</t>
  </si>
  <si>
    <t>1222</t>
  </si>
  <si>
    <t>Advertising and public relations managers</t>
  </si>
  <si>
    <t>11-2011</t>
  </si>
  <si>
    <t>Advertising and Promotions Managers</t>
  </si>
  <si>
    <t>29-1111</t>
  </si>
  <si>
    <t>Registered nurses</t>
  </si>
  <si>
    <t>21-1015</t>
  </si>
  <si>
    <t>Rehabilitation counselors</t>
  </si>
  <si>
    <t>1223</t>
  </si>
  <si>
    <t>Research and development managers</t>
  </si>
  <si>
    <t>11-9041</t>
  </si>
  <si>
    <t>Architectural and Engineering Managers</t>
  </si>
  <si>
    <t>25-3999</t>
  </si>
  <si>
    <t>Teachers and Instructors, all other</t>
  </si>
  <si>
    <t>11-9121</t>
  </si>
  <si>
    <t>Natural Sciences Managers</t>
  </si>
  <si>
    <t>19-4092</t>
  </si>
  <si>
    <t>Forensic science technicians</t>
  </si>
  <si>
    <t>1311</t>
  </si>
  <si>
    <t>Agricultural and forestry production managers</t>
  </si>
  <si>
    <t>11-9013</t>
  </si>
  <si>
    <t>Farmers, Ranchers, and Other Agricultural Managers</t>
  </si>
  <si>
    <t>39-5091</t>
  </si>
  <si>
    <t>Makeup artists, theatrical and performance</t>
  </si>
  <si>
    <t>1312</t>
  </si>
  <si>
    <t>Aquaculture and fisheries production managers</t>
  </si>
  <si>
    <t>17-2121</t>
  </si>
  <si>
    <t>Marine engineers and naval architects</t>
  </si>
  <si>
    <t>1321</t>
  </si>
  <si>
    <t>Manufacturing managers</t>
  </si>
  <si>
    <t>11-3051</t>
  </si>
  <si>
    <t>Industrial Production Managers</t>
  </si>
  <si>
    <t>11-9033</t>
  </si>
  <si>
    <t>Education administrators, postsecondary</t>
  </si>
  <si>
    <t>1322</t>
  </si>
  <si>
    <t>Mining managers</t>
  </si>
  <si>
    <t>17-2141</t>
  </si>
  <si>
    <t>Mechanical engineers</t>
  </si>
  <si>
    <t>1323</t>
  </si>
  <si>
    <t>Construction managers</t>
  </si>
  <si>
    <t>11-9021</t>
  </si>
  <si>
    <t>Construction Managers</t>
  </si>
  <si>
    <t>29-1051</t>
  </si>
  <si>
    <t>Pharmacists</t>
  </si>
  <si>
    <t>1324</t>
  </si>
  <si>
    <t>Supply, distribution and related managers</t>
  </si>
  <si>
    <t>11-3071</t>
  </si>
  <si>
    <t>Transportation, Storage, and Distribution Managers</t>
  </si>
  <si>
    <t>13-1081</t>
  </si>
  <si>
    <t>Logisticians</t>
  </si>
  <si>
    <t>1330</t>
  </si>
  <si>
    <t>Information and communications technology service managers</t>
  </si>
  <si>
    <t>11-3021</t>
  </si>
  <si>
    <t>Computer and Information Systems Managers</t>
  </si>
  <si>
    <t>19-1022</t>
  </si>
  <si>
    <t>Microbiologists</t>
  </si>
  <si>
    <t>1341</t>
  </si>
  <si>
    <t>Child care services managers</t>
  </si>
  <si>
    <t>11-9031</t>
  </si>
  <si>
    <t>Education Administrators, Preschool and Childcare Center/Program</t>
  </si>
  <si>
    <t>19-3032</t>
  </si>
  <si>
    <t>Industrial-organizational psychologists</t>
  </si>
  <si>
    <t>1342</t>
  </si>
  <si>
    <t>Health services managers</t>
  </si>
  <si>
    <t>Medical and Health Services Managers</t>
  </si>
  <si>
    <t>27-2022</t>
  </si>
  <si>
    <t>Coaches and scouts</t>
  </si>
  <si>
    <t>1343</t>
  </si>
  <si>
    <t>Aged care services managers</t>
  </si>
  <si>
    <t>Sales managers</t>
  </si>
  <si>
    <t>19-2043</t>
  </si>
  <si>
    <t>Hydrologists</t>
  </si>
  <si>
    <t>1344</t>
  </si>
  <si>
    <t>Social welfare managers</t>
  </si>
  <si>
    <t>Social and Community Service Managers</t>
  </si>
  <si>
    <t>Marketing managers</t>
  </si>
  <si>
    <t>1345</t>
  </si>
  <si>
    <t>Education managers</t>
  </si>
  <si>
    <t>Education Administrators, Elementary and Secondary School</t>
  </si>
  <si>
    <t>21-1013</t>
  </si>
  <si>
    <t>Marriage and family therapists</t>
  </si>
  <si>
    <t>Education Administrators, Postsecondary</t>
  </si>
  <si>
    <t>17-2199</t>
  </si>
  <si>
    <t>Engineers, all other</t>
  </si>
  <si>
    <t>11-9039</t>
  </si>
  <si>
    <t>Education Administrators, All Other</t>
  </si>
  <si>
    <t>13-1151</t>
  </si>
  <si>
    <t>Training and development specialists</t>
  </si>
  <si>
    <t>1346</t>
  </si>
  <si>
    <t>Financial and insurance services branch managers</t>
  </si>
  <si>
    <t>43-1011</t>
  </si>
  <si>
    <t>First-line supervisors of office and administrative support workers</t>
  </si>
  <si>
    <t>19-1029</t>
  </si>
  <si>
    <t>Biological scientists, all other</t>
  </si>
  <si>
    <t>1349</t>
  </si>
  <si>
    <t>Professional services managers not elsewhere classified</t>
  </si>
  <si>
    <t>Public relations and fundraising managers</t>
  </si>
  <si>
    <t>1411</t>
  </si>
  <si>
    <t>Hotel managers</t>
  </si>
  <si>
    <t>Lodging Managers</t>
  </si>
  <si>
    <t>27-1014</t>
  </si>
  <si>
    <t>Multimedia artists and animators</t>
  </si>
  <si>
    <t>1412</t>
  </si>
  <si>
    <t>Restaurant managers</t>
  </si>
  <si>
    <t>11-9051</t>
  </si>
  <si>
    <t>Food Service Managers</t>
  </si>
  <si>
    <t>15-1111</t>
  </si>
  <si>
    <t>Computer and information research scientists</t>
  </si>
  <si>
    <t>1420</t>
  </si>
  <si>
    <t>Retail and wholesale trade managers</t>
  </si>
  <si>
    <t>Chief executives</t>
  </si>
  <si>
    <t>1431</t>
  </si>
  <si>
    <t>Sports, recreation and cultural centre managers</t>
  </si>
  <si>
    <t>11-9071</t>
  </si>
  <si>
    <t>Gaming Managers</t>
  </si>
  <si>
    <t>Education administrators, preschool and childcare center/program</t>
  </si>
  <si>
    <t>27-2041</t>
  </si>
  <si>
    <t>Music directors and composers</t>
  </si>
  <si>
    <t>1439</t>
  </si>
  <si>
    <t>Services managers not elsewhere classified</t>
  </si>
  <si>
    <t>51-1011</t>
  </si>
  <si>
    <t>First-line supervisors of production and operating workers</t>
  </si>
  <si>
    <t>211</t>
  </si>
  <si>
    <t>Physical and earth science professionals</t>
  </si>
  <si>
    <t>19-2099</t>
  </si>
  <si>
    <t>Physical Scientists, All Other</t>
  </si>
  <si>
    <t>41-3031</t>
  </si>
  <si>
    <t>Securities, commodities, and financial services sales agents</t>
  </si>
  <si>
    <t>2111</t>
  </si>
  <si>
    <t>Physicists and astronomers</t>
  </si>
  <si>
    <t>19-2011</t>
  </si>
  <si>
    <t>Astronomers</t>
  </si>
  <si>
    <t>19-1031</t>
  </si>
  <si>
    <t>Conservation scientists</t>
  </si>
  <si>
    <t>19-2012</t>
  </si>
  <si>
    <t>Physicists</t>
  </si>
  <si>
    <t>25-2053</t>
  </si>
  <si>
    <t>Special education teachers, middle school</t>
  </si>
  <si>
    <t>2112</t>
  </si>
  <si>
    <t>Meteorologists</t>
  </si>
  <si>
    <t>19-2021</t>
  </si>
  <si>
    <t>Atmospheric and Space Scientists</t>
  </si>
  <si>
    <t>17-2041</t>
  </si>
  <si>
    <t>Chemical engineers</t>
  </si>
  <si>
    <t>2113</t>
  </si>
  <si>
    <t>Chemists</t>
  </si>
  <si>
    <t>19-2031</t>
  </si>
  <si>
    <t>Architectural and engineering managers</t>
  </si>
  <si>
    <t>19-2032</t>
  </si>
  <si>
    <t>Materials Scientists</t>
  </si>
  <si>
    <t>17-2011</t>
  </si>
  <si>
    <t>Aerospace engineers</t>
  </si>
  <si>
    <t>2114</t>
  </si>
  <si>
    <t>Geologists and geophysicists</t>
  </si>
  <si>
    <t>19-2042</t>
  </si>
  <si>
    <t>Geoscientists, Except Hydrologists and Geographers</t>
  </si>
  <si>
    <t>Natural sciences managers</t>
  </si>
  <si>
    <t>Hydrologist</t>
  </si>
  <si>
    <t>17-2081</t>
  </si>
  <si>
    <t>Environmental engineers</t>
  </si>
  <si>
    <t>2120</t>
  </si>
  <si>
    <t>Mathematicians, actuaries and statisticians</t>
  </si>
  <si>
    <t>15-2011</t>
  </si>
  <si>
    <t>Actuaries</t>
  </si>
  <si>
    <t>17-1011</t>
  </si>
  <si>
    <t>Architects, except landscape and naval</t>
  </si>
  <si>
    <t>15-2021</t>
  </si>
  <si>
    <t>Mathematicians</t>
  </si>
  <si>
    <t>31-2021</t>
  </si>
  <si>
    <t>Physical therapist assistants</t>
  </si>
  <si>
    <t>15-2031</t>
  </si>
  <si>
    <t>Operations Research Analysts</t>
  </si>
  <si>
    <t>17-2051</t>
  </si>
  <si>
    <t>Civil engineers</t>
  </si>
  <si>
    <t>15-2041</t>
  </si>
  <si>
    <t>Statisticians</t>
  </si>
  <si>
    <t>29-1199</t>
  </si>
  <si>
    <t>Health diagnosing and treating practitioners, all other</t>
  </si>
  <si>
    <t>19-3022</t>
  </si>
  <si>
    <t>Survey Researchers</t>
  </si>
  <si>
    <t>19-1013</t>
  </si>
  <si>
    <t>Soil and plant scientists</t>
  </si>
  <si>
    <t>2131</t>
  </si>
  <si>
    <t>Biologists, botanists, zoologists and related professionals</t>
  </si>
  <si>
    <t>19-1011</t>
  </si>
  <si>
    <t>Animal Scientists</t>
  </si>
  <si>
    <t>Materials scientists</t>
  </si>
  <si>
    <t>19-1012</t>
  </si>
  <si>
    <t>Food Scientists and Technologists</t>
  </si>
  <si>
    <t>17-2131</t>
  </si>
  <si>
    <t>Materials engineers</t>
  </si>
  <si>
    <t>Soil and Plant Scientists</t>
  </si>
  <si>
    <t>27-1022</t>
  </si>
  <si>
    <t>Fashion designers</t>
  </si>
  <si>
    <t>19-1021</t>
  </si>
  <si>
    <t>Biochemists and Biophysicists</t>
  </si>
  <si>
    <t>29-1123</t>
  </si>
  <si>
    <t>Physical therapists</t>
  </si>
  <si>
    <t>27-4021</t>
  </si>
  <si>
    <t>Photographers</t>
  </si>
  <si>
    <t>19-1023</t>
  </si>
  <si>
    <t>Zoologists and Wildlife Biologists</t>
  </si>
  <si>
    <t>27-2012</t>
  </si>
  <si>
    <t>Producers and directors</t>
  </si>
  <si>
    <t>Biological Scientists, All Other</t>
  </si>
  <si>
    <t>27-1025</t>
  </si>
  <si>
    <t>Interior designers</t>
  </si>
  <si>
    <t>19-1041</t>
  </si>
  <si>
    <t>Epidemiologists</t>
  </si>
  <si>
    <t>29-1023</t>
  </si>
  <si>
    <t>Orthodontists</t>
  </si>
  <si>
    <t>Medical Scientists, Except Epidemiologists</t>
  </si>
  <si>
    <t>27-1011</t>
  </si>
  <si>
    <t>Art directors</t>
  </si>
  <si>
    <t>19-1099</t>
  </si>
  <si>
    <t>Life Scientists, All Other</t>
  </si>
  <si>
    <t>33-1011</t>
  </si>
  <si>
    <t>First-line supervisors of oorrectional officers</t>
  </si>
  <si>
    <t>2132</t>
  </si>
  <si>
    <t>Farming, forestry and fisheries advisers</t>
  </si>
  <si>
    <t>21-2021</t>
  </si>
  <si>
    <t>Directors, religious activities and education</t>
  </si>
  <si>
    <t>17-2072</t>
  </si>
  <si>
    <t>Electronics engineers, except computer</t>
  </si>
  <si>
    <t>Farm and Home Management Advisors</t>
  </si>
  <si>
    <t>Biochemists and biophysicists</t>
  </si>
  <si>
    <t>2133</t>
  </si>
  <si>
    <t>Environmental protection professionals</t>
  </si>
  <si>
    <t>Conservation Scientists</t>
  </si>
  <si>
    <t>29-1011</t>
  </si>
  <si>
    <t>Chiropractors</t>
  </si>
  <si>
    <t>19-2041</t>
  </si>
  <si>
    <t>Environmental Scientists and Specialists, Including Health</t>
  </si>
  <si>
    <t>31-2011</t>
  </si>
  <si>
    <t>Occupational therapy assistants</t>
  </si>
  <si>
    <t>2141</t>
  </si>
  <si>
    <t>Industrial and production engineers</t>
  </si>
  <si>
    <t>17-2112</t>
  </si>
  <si>
    <t>Industrial Engineers</t>
  </si>
  <si>
    <t>21-1021</t>
  </si>
  <si>
    <t>Child, family, and school social workers</t>
  </si>
  <si>
    <t>2142</t>
  </si>
  <si>
    <t>Civil Engineers</t>
  </si>
  <si>
    <t>17-2111</t>
  </si>
  <si>
    <t>Health and safety engineers, except mining safety engineers and inspectors</t>
  </si>
  <si>
    <t>2143</t>
  </si>
  <si>
    <t>Environmental Engineers</t>
  </si>
  <si>
    <t>Industrial engineers</t>
  </si>
  <si>
    <t>2144</t>
  </si>
  <si>
    <t>Aerospace Engineers</t>
  </si>
  <si>
    <t>53-1031</t>
  </si>
  <si>
    <t>First-line supervisors of transportation and material-moving machine and vehicle operators</t>
  </si>
  <si>
    <t>17-2021</t>
  </si>
  <si>
    <t>Agricultural Engineers</t>
  </si>
  <si>
    <t>29-2056</t>
  </si>
  <si>
    <t>Veterinary technologists and technicians</t>
  </si>
  <si>
    <t>Marine Engineers and Naval Architects</t>
  </si>
  <si>
    <t>Industrial production managers</t>
  </si>
  <si>
    <t>Mechanical Engineers</t>
  </si>
  <si>
    <t>17-3026</t>
  </si>
  <si>
    <t>Industrial engineering technicians</t>
  </si>
  <si>
    <t>2145</t>
  </si>
  <si>
    <t>Chemical Engineers</t>
  </si>
  <si>
    <t>15-1142</t>
  </si>
  <si>
    <t>Network and computer systems administrators</t>
  </si>
  <si>
    <t>2146</t>
  </si>
  <si>
    <t>Mining engineers, metallurgists and related professionals</t>
  </si>
  <si>
    <t>Materials Engineers</t>
  </si>
  <si>
    <t>15-1141</t>
  </si>
  <si>
    <t>Database administrators</t>
  </si>
  <si>
    <t>17-2151</t>
  </si>
  <si>
    <t>Mining and Geological Engineers, Including Mining Safety Engineers</t>
  </si>
  <si>
    <t>Purchasing managers</t>
  </si>
  <si>
    <t>17-2171</t>
  </si>
  <si>
    <t>Petroleum Engineers</t>
  </si>
  <si>
    <t>25-1000</t>
  </si>
  <si>
    <t>Postsecondary teachers</t>
  </si>
  <si>
    <t>Environmental scientists and specialists, including health</t>
  </si>
  <si>
    <t>2149</t>
  </si>
  <si>
    <t>Engineering professionals not elsewhere classified</t>
  </si>
  <si>
    <t>17-2031</t>
  </si>
  <si>
    <t>Biomedical Engineers</t>
  </si>
  <si>
    <t>21-1011</t>
  </si>
  <si>
    <t>Substance abuse and behavioural disorder counselors</t>
  </si>
  <si>
    <t>Health and Safety Engineers, Except Mining Safety Engineers and Inspectors</t>
  </si>
  <si>
    <t>23-1011</t>
  </si>
  <si>
    <t>Lawyers</t>
  </si>
  <si>
    <t>27-1012</t>
  </si>
  <si>
    <t>Craft artists</t>
  </si>
  <si>
    <t>17-2161</t>
  </si>
  <si>
    <t>Nuclear Engineers</t>
  </si>
  <si>
    <t>Operations research analysts</t>
  </si>
  <si>
    <t>Engineers, All Other</t>
  </si>
  <si>
    <t>Computer and information systems managers</t>
  </si>
  <si>
    <t>2151</t>
  </si>
  <si>
    <t>Electrical engineers</t>
  </si>
  <si>
    <t>17-2071</t>
  </si>
  <si>
    <t>Electrical Engineers</t>
  </si>
  <si>
    <t>27-1021</t>
  </si>
  <si>
    <t>Commercial and industrial designers</t>
  </si>
  <si>
    <t>2152</t>
  </si>
  <si>
    <t>Electronics engineers</t>
  </si>
  <si>
    <t>17-2061</t>
  </si>
  <si>
    <t>Computer Hardware Engineers</t>
  </si>
  <si>
    <t>Biomedical engineers</t>
  </si>
  <si>
    <t>Electronics Engineers, Except Computer</t>
  </si>
  <si>
    <t>13-1121</t>
  </si>
  <si>
    <t>Meeting, convention, and event planners</t>
  </si>
  <si>
    <t>2153</t>
  </si>
  <si>
    <t>Telecommunications engineers</t>
  </si>
  <si>
    <t>29-1131</t>
  </si>
  <si>
    <t>Veterinarians</t>
  </si>
  <si>
    <t>2161</t>
  </si>
  <si>
    <t>Building architects</t>
  </si>
  <si>
    <t>Architects, Except Landscape and Naval</t>
  </si>
  <si>
    <t>27-3043</t>
  </si>
  <si>
    <t>Writers and authors</t>
  </si>
  <si>
    <t>2162</t>
  </si>
  <si>
    <t>Landscape architects</t>
  </si>
  <si>
    <t>17-1012</t>
  </si>
  <si>
    <t>Landscape Architects</t>
  </si>
  <si>
    <t>Advertising and promotions managers</t>
  </si>
  <si>
    <t>2163</t>
  </si>
  <si>
    <t>Product and garment designers</t>
  </si>
  <si>
    <t>Commercial and Industrial Designers</t>
  </si>
  <si>
    <t>19-3094</t>
  </si>
  <si>
    <t>Political scientists</t>
  </si>
  <si>
    <t>Fashion Designers</t>
  </si>
  <si>
    <t>13-2071</t>
  </si>
  <si>
    <t>Credit counselors</t>
  </si>
  <si>
    <t>27-1029</t>
  </si>
  <si>
    <t>Designers, All Other</t>
  </si>
  <si>
    <t>19-3099</t>
  </si>
  <si>
    <t>Social scientists and related workers, all other</t>
  </si>
  <si>
    <t>2164</t>
  </si>
  <si>
    <t>Town and traffic planners</t>
  </si>
  <si>
    <t>19-3051</t>
  </si>
  <si>
    <t>Urban and Regional Planners</t>
  </si>
  <si>
    <t>2165</t>
  </si>
  <si>
    <t>Cartographers and surveyors</t>
  </si>
  <si>
    <t>17-1021</t>
  </si>
  <si>
    <t>Cartographers and Photogrammetrists</t>
  </si>
  <si>
    <t>53-5031</t>
  </si>
  <si>
    <t>Ship engineers</t>
  </si>
  <si>
    <t>17-1022</t>
  </si>
  <si>
    <t>Surveyors</t>
  </si>
  <si>
    <t>15-1132</t>
  </si>
  <si>
    <t>Software developers, applications</t>
  </si>
  <si>
    <t>2166</t>
  </si>
  <si>
    <t>Graphic and multimedia designers</t>
  </si>
  <si>
    <t>Multimedia Artists and Animators</t>
  </si>
  <si>
    <t>27-1013</t>
  </si>
  <si>
    <t>Fine artists, including painters, sculptors, and illustrators</t>
  </si>
  <si>
    <t>27-1024</t>
  </si>
  <si>
    <t>Graphic Designers</t>
  </si>
  <si>
    <t>29-2053</t>
  </si>
  <si>
    <t>Psychiatric technicians</t>
  </si>
  <si>
    <t>2211</t>
  </si>
  <si>
    <t xml:space="preserve">Generalist medical practitioners </t>
  </si>
  <si>
    <t>29-1062</t>
  </si>
  <si>
    <t>Family and General Practitioners</t>
  </si>
  <si>
    <t>29-1063</t>
  </si>
  <si>
    <t>Internists, General</t>
  </si>
  <si>
    <t>21-1091</t>
  </si>
  <si>
    <t>Health educators</t>
  </si>
  <si>
    <t>29-1065</t>
  </si>
  <si>
    <t>Pediatricians, General</t>
  </si>
  <si>
    <t>29-1069</t>
  </si>
  <si>
    <t>Physicians and Surgeons, All Other</t>
  </si>
  <si>
    <t>27-1023</t>
  </si>
  <si>
    <t>Floral designers</t>
  </si>
  <si>
    <t>2212</t>
  </si>
  <si>
    <t xml:space="preserve">Specialist medical practitioners </t>
  </si>
  <si>
    <t>29-1061</t>
  </si>
  <si>
    <t>Anesthesiologists</t>
  </si>
  <si>
    <t>Farmers, ranchers, and other agricultural managers</t>
  </si>
  <si>
    <t>29-1064</t>
  </si>
  <si>
    <t>Obstetricians and Gynecologists</t>
  </si>
  <si>
    <t>33-2022</t>
  </si>
  <si>
    <t>Forest fire inspectors and prevention specialists</t>
  </si>
  <si>
    <t>29-1066</t>
  </si>
  <si>
    <t>Psychiatrists</t>
  </si>
  <si>
    <t>29-2041</t>
  </si>
  <si>
    <t>Emergency medical technicians and paramedics</t>
  </si>
  <si>
    <t>29-1067</t>
  </si>
  <si>
    <t>Surgeons</t>
  </si>
  <si>
    <t>27-3041</t>
  </si>
  <si>
    <t>Editors</t>
  </si>
  <si>
    <t>29-1024</t>
  </si>
  <si>
    <t>Prosthodontists</t>
  </si>
  <si>
    <t>2221</t>
  </si>
  <si>
    <t>Nursing professionals</t>
  </si>
  <si>
    <t>29-1141</t>
  </si>
  <si>
    <t>Registered Nurses</t>
  </si>
  <si>
    <t>29-9799</t>
  </si>
  <si>
    <t>Healthcare practitioners and technical workers, all other</t>
  </si>
  <si>
    <t>29-1151</t>
  </si>
  <si>
    <t>Nurse Anesthetists</t>
  </si>
  <si>
    <t>39-7012</t>
  </si>
  <si>
    <t>Travel guides</t>
  </si>
  <si>
    <t>29-1171</t>
  </si>
  <si>
    <t>Nurse Practitioners</t>
  </si>
  <si>
    <t>29-2061</t>
  </si>
  <si>
    <t>Licensed practical and licensed vocational nurses</t>
  </si>
  <si>
    <t>2222</t>
  </si>
  <si>
    <t>Midwifery professionals</t>
  </si>
  <si>
    <t>29-1161</t>
  </si>
  <si>
    <t>Nurse Midwives</t>
  </si>
  <si>
    <t>19-3041</t>
  </si>
  <si>
    <t>Sociologists</t>
  </si>
  <si>
    <t>2230</t>
  </si>
  <si>
    <t>Traditional and complementary medicine professionals</t>
  </si>
  <si>
    <t>Health Diagnosing and Treating Practitioners, All Other</t>
  </si>
  <si>
    <t>23-1022</t>
  </si>
  <si>
    <t>Arbitrators, mediators, and conciliators</t>
  </si>
  <si>
    <t>2240</t>
  </si>
  <si>
    <t>Paramedical practitioners</t>
  </si>
  <si>
    <t>29-1071</t>
  </si>
  <si>
    <t>Physician Assistants</t>
  </si>
  <si>
    <t>Animal scientists</t>
  </si>
  <si>
    <t>2250</t>
  </si>
  <si>
    <t>39-9041</t>
  </si>
  <si>
    <t>Residential advisors</t>
  </si>
  <si>
    <t>2261</t>
  </si>
  <si>
    <t>Dentists</t>
  </si>
  <si>
    <t>Dentists, General</t>
  </si>
  <si>
    <t>53-1011</t>
  </si>
  <si>
    <t>Aircraft cargo handling supervisors</t>
  </si>
  <si>
    <t>Oral and Maxillofacial Surgeons</t>
  </si>
  <si>
    <t>29-1126</t>
  </si>
  <si>
    <t>Respiratory therapists</t>
  </si>
  <si>
    <t>27-3021</t>
  </si>
  <si>
    <t>Broadcast news analysts</t>
  </si>
  <si>
    <t>Financial managers</t>
  </si>
  <si>
    <t>29-1029</t>
  </si>
  <si>
    <t>Dentists, All Other Specialists</t>
  </si>
  <si>
    <t>Nuclear engineers</t>
  </si>
  <si>
    <t>2262</t>
  </si>
  <si>
    <t>2263</t>
  </si>
  <si>
    <t>Environmental and occupational health and hygiene professionals</t>
  </si>
  <si>
    <t xml:space="preserve">Health Educators </t>
  </si>
  <si>
    <t>27-2042</t>
  </si>
  <si>
    <t>Musicians and singers</t>
  </si>
  <si>
    <t>29-9011</t>
  </si>
  <si>
    <t>Occupational Health and Safety Specialists</t>
  </si>
  <si>
    <t>41-1012</t>
  </si>
  <si>
    <t>First-line supervisors of non-retail sales workers</t>
  </si>
  <si>
    <t>2264</t>
  </si>
  <si>
    <t xml:space="preserve">Physiotherapists </t>
  </si>
  <si>
    <t>Physical Therapists</t>
  </si>
  <si>
    <t>39-1021</t>
  </si>
  <si>
    <t>First-line supervisors of personal service workers</t>
  </si>
  <si>
    <t>29-1128</t>
  </si>
  <si>
    <t>Exercise Physiologists</t>
  </si>
  <si>
    <t>Food scientists and technologists</t>
  </si>
  <si>
    <t>2265</t>
  </si>
  <si>
    <t>Dieticians and nutritionists</t>
  </si>
  <si>
    <t>Dietitians and Nutritionists</t>
  </si>
  <si>
    <t>13-1041</t>
  </si>
  <si>
    <t>Compliance officers</t>
  </si>
  <si>
    <t>2266</t>
  </si>
  <si>
    <t>Audiologists and speech therapists</t>
  </si>
  <si>
    <t>Speech-Language Pathologists</t>
  </si>
  <si>
    <t>33-3031</t>
  </si>
  <si>
    <t>Fish and game wardens</t>
  </si>
  <si>
    <t>Graphic designers</t>
  </si>
  <si>
    <t>2267</t>
  </si>
  <si>
    <t>Optometrists and ophthalmic opticians</t>
  </si>
  <si>
    <t>29-1041</t>
  </si>
  <si>
    <t>Optometrists</t>
  </si>
  <si>
    <t>Food service managers</t>
  </si>
  <si>
    <t>2269</t>
  </si>
  <si>
    <t>Health professionals not elsewhere classified</t>
  </si>
  <si>
    <t>39-9011</t>
  </si>
  <si>
    <t>Childcare workers</t>
  </si>
  <si>
    <t>39-9031</t>
  </si>
  <si>
    <t>Fitness trainers and aerobics instructors</t>
  </si>
  <si>
    <t>Occupational Therapists</t>
  </si>
  <si>
    <t>Gaming managers</t>
  </si>
  <si>
    <t>Recreational Therapists</t>
  </si>
  <si>
    <t>49-9051</t>
  </si>
  <si>
    <t>Electrical power-line installers and repairers</t>
  </si>
  <si>
    <t>29-1129</t>
  </si>
  <si>
    <t>Therapists, All Other</t>
  </si>
  <si>
    <t>33-3051</t>
  </si>
  <si>
    <t>Police and sheriff’s patrol officers</t>
  </si>
  <si>
    <t>41-3041</t>
  </si>
  <si>
    <t>Travel agents</t>
  </si>
  <si>
    <t>29-9092</t>
  </si>
  <si>
    <t>Genetic Counselors</t>
  </si>
  <si>
    <t>35-1011</t>
  </si>
  <si>
    <t>Chefs and head cooks</t>
  </si>
  <si>
    <t>2310</t>
  </si>
  <si>
    <t>University and higher education teachers</t>
  </si>
  <si>
    <t>25-1011</t>
  </si>
  <si>
    <t>Business Teachers, Postsecondary</t>
  </si>
  <si>
    <t>39-2011</t>
  </si>
  <si>
    <t>Animal trainers</t>
  </si>
  <si>
    <t>25-1021</t>
  </si>
  <si>
    <t>Computer Science Teachers, Postsecondary</t>
  </si>
  <si>
    <t>27-3011</t>
  </si>
  <si>
    <t>Radio and television announcers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</si>
  <si>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</si>
  <si>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</si>
  <si>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</si>
  <si>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</si>
  <si>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</si>
  <si>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</si>
  <si>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29-2054</t>
  </si>
  <si>
    <t>Respiratory therapy technicians</t>
  </si>
  <si>
    <t>25-1041</t>
  </si>
  <si>
    <t>Agricultural Sciences Teachers, Postsecondary</t>
  </si>
  <si>
    <t>25-1042</t>
  </si>
  <si>
    <t>Biological Science Teachers, Postsecondary</t>
  </si>
  <si>
    <t>39-5012</t>
  </si>
  <si>
    <t>Hairdressers, hairstylists, and cosmetologists</t>
  </si>
  <si>
    <t>25-1043</t>
  </si>
  <si>
    <t>Forestry and Conservation Science Teachers, Postsecondary</t>
  </si>
  <si>
    <t>27-3022</t>
  </si>
  <si>
    <t>Reporters and correspondents</t>
  </si>
  <si>
    <t>25-1051</t>
  </si>
  <si>
    <t>Atmospheric, Earth, Marine, and Space Sciences Teachers, Postsecondary</t>
  </si>
  <si>
    <t>53-2021</t>
  </si>
  <si>
    <t>Air traffic controllers</t>
  </si>
  <si>
    <t>25-1052</t>
  </si>
  <si>
    <t>Chemistry Teachers, Postsecondary</t>
  </si>
  <si>
    <t>27-2031</t>
  </si>
  <si>
    <t>Dancers</t>
  </si>
  <si>
    <t>25-1053</t>
  </si>
  <si>
    <t>Environmental Science Teachers, Postsecondary</t>
  </si>
  <si>
    <t>29-2033</t>
  </si>
  <si>
    <t>Nuclear medicine technologists</t>
  </si>
  <si>
    <t>25-1054</t>
  </si>
  <si>
    <t>Physics Teachers, Postsecondary</t>
  </si>
  <si>
    <t>15-1133</t>
  </si>
  <si>
    <t>Software developers, systems software</t>
  </si>
  <si>
    <t>25-1061</t>
  </si>
  <si>
    <t>Anthropology and Archeology Teachers, Postsecondary</t>
  </si>
  <si>
    <t>13-1111</t>
  </si>
  <si>
    <t>Management analysts</t>
  </si>
  <si>
    <t>25-1062</t>
  </si>
  <si>
    <t>Area, Ethnic, and Cultural Studies Teachers, Postsecondary</t>
  </si>
  <si>
    <t>29-2051</t>
  </si>
  <si>
    <t>Dietetic technicians</t>
  </si>
  <si>
    <t>25-1063</t>
  </si>
  <si>
    <t>Economics Teachers, Postsecondary</t>
  </si>
  <si>
    <t>Urban and regional planners</t>
  </si>
  <si>
    <t>25-1064</t>
  </si>
  <si>
    <t>Geography Teachers, Postsecondary</t>
  </si>
  <si>
    <t>21-1093</t>
  </si>
  <si>
    <t>Social and human service assistants</t>
  </si>
  <si>
    <t>25-1065</t>
  </si>
  <si>
    <t>Political Science Teachers, Postsecondary</t>
  </si>
  <si>
    <t>25-3021</t>
  </si>
  <si>
    <t>Self-enrichment education teachers</t>
  </si>
  <si>
    <t>25-1066</t>
  </si>
  <si>
    <t>Psychology Teachers, Postsecondary</t>
  </si>
  <si>
    <t>27-4014</t>
  </si>
  <si>
    <t>Sound engineering technicians</t>
  </si>
  <si>
    <t>25-1067</t>
  </si>
  <si>
    <t>Sociology Teachers, Postsecondary</t>
  </si>
  <si>
    <t>25-1069</t>
  </si>
  <si>
    <t>Social Sciences Teachers, Postsecondary, All Other</t>
  </si>
  <si>
    <t>Mining and geological engineers, including mining safety engineers</t>
  </si>
  <si>
    <t>25-1071</t>
  </si>
  <si>
    <t>Health Specialties Teachers, Postsecondary</t>
  </si>
  <si>
    <t>Physician assistants</t>
  </si>
  <si>
    <t>25-1072</t>
  </si>
  <si>
    <t>Nursing Instructors and Teachers, Postsecondary</t>
  </si>
  <si>
    <t>25-2012</t>
  </si>
  <si>
    <t>Kindergarten teachers, except special education</t>
  </si>
  <si>
    <t>25-1081</t>
  </si>
  <si>
    <t>Education Teachers, Postsecondary</t>
  </si>
  <si>
    <t>47-2111</t>
  </si>
  <si>
    <t>Electricians</t>
  </si>
  <si>
    <t>25-1082</t>
  </si>
  <si>
    <t>Library Science Teachers, Postsecondary</t>
  </si>
  <si>
    <t>Petroleum engineers</t>
  </si>
  <si>
    <t>25-1111</t>
  </si>
  <si>
    <t>Criminal Justice and Law Enforcement Teachers, Postsecondary</t>
  </si>
  <si>
    <t>43-9031</t>
  </si>
  <si>
    <t>Desktop publishers</t>
  </si>
  <si>
    <t>25-1112</t>
  </si>
  <si>
    <t>Law Teachers, Postsecondary</t>
  </si>
  <si>
    <t>General and operations managers</t>
  </si>
  <si>
    <t>25-1113</t>
  </si>
  <si>
    <t>Social Work Teachers, Postsecondary</t>
  </si>
  <si>
    <t>Occupational health and safety specialists</t>
  </si>
  <si>
    <t>25-1121</t>
  </si>
  <si>
    <t>Art, Drama, and Music Teachers, Postsecondary</t>
  </si>
  <si>
    <t>33-2011</t>
  </si>
  <si>
    <t>Firefighters</t>
  </si>
  <si>
    <t>25-1122</t>
  </si>
  <si>
    <t>Communications Teachers, Postsecondary</t>
  </si>
  <si>
    <t>13-2061</t>
  </si>
  <si>
    <t>Financial examiners</t>
  </si>
  <si>
    <t>25-1123</t>
  </si>
  <si>
    <t>English Language and Literature Teachers, Postsecondary</t>
  </si>
  <si>
    <t>47-1011</t>
  </si>
  <si>
    <t>First-line supervisors of construction trades and extraction workers</t>
  </si>
  <si>
    <t>25-1124</t>
  </si>
  <si>
    <t>Foreign Language and Literature Teachers, Postsecondary</t>
  </si>
  <si>
    <t>25-2022</t>
  </si>
  <si>
    <t>Middle school teachers, except special and career/technical education</t>
  </si>
  <si>
    <t>25-1125</t>
  </si>
  <si>
    <t>History Teachers, Postsecondary</t>
  </si>
  <si>
    <t>27-3031</t>
  </si>
  <si>
    <t>Public relations specialists</t>
  </si>
  <si>
    <t>25-1126</t>
  </si>
  <si>
    <t>Philosophy and Religion Teachers, Postsecondary</t>
  </si>
  <si>
    <t>49-9092</t>
  </si>
  <si>
    <t>Commercial divers</t>
  </si>
  <si>
    <t>25-1191</t>
  </si>
  <si>
    <t>Graduate Teaching Assistants</t>
  </si>
  <si>
    <t>49-9095</t>
  </si>
  <si>
    <t>Manufactured building and mobile home installers</t>
  </si>
  <si>
    <t>25-1192</t>
  </si>
  <si>
    <t>Home Economics Teachers, Postsecondary</t>
  </si>
  <si>
    <t>53-2011</t>
  </si>
  <si>
    <t>Airline pilots, copilots, and flight engineers</t>
  </si>
  <si>
    <t>25-1193</t>
  </si>
  <si>
    <t>Recreation and Fitness Studies Teachers, Postsecondary</t>
  </si>
  <si>
    <t>25-3011</t>
  </si>
  <si>
    <t>Adult basic and secondary education and literacy teachers and instructors</t>
  </si>
  <si>
    <t>25-1199</t>
  </si>
  <si>
    <t>Postsecondary Teachers, All Other</t>
  </si>
  <si>
    <t>Epidemiologists										tea</t>
  </si>
  <si>
    <t>2320</t>
  </si>
  <si>
    <t>Vocational education teachers</t>
  </si>
  <si>
    <t>25-1194</t>
  </si>
  <si>
    <t>Vocational Education Teachers, Postsecondary</t>
  </si>
  <si>
    <t>39-4831</t>
  </si>
  <si>
    <t>Funeral service managers, directors, morticians, and undertakers</t>
  </si>
  <si>
    <t>25-2023</t>
  </si>
  <si>
    <t>Career/Technical Education Teachers, Middle School</t>
  </si>
  <si>
    <t>15-1179</t>
  </si>
  <si>
    <t>Information security analysts, web developers, and computer network architects</t>
  </si>
  <si>
    <t>Career/Technical Education Teachers, Secondary School</t>
  </si>
  <si>
    <t>2330</t>
  </si>
  <si>
    <t>Secondary education teachers</t>
  </si>
  <si>
    <t>Secondary School Teachers, Except Special and Career/Technical Education</t>
  </si>
  <si>
    <t>33-9011</t>
  </si>
  <si>
    <t>Animal control workers</t>
  </si>
  <si>
    <t>2341</t>
  </si>
  <si>
    <t>Primary school teachers</t>
  </si>
  <si>
    <t>Elementary School Teachers, Except Special Education</t>
  </si>
  <si>
    <t>39-6012</t>
  </si>
  <si>
    <t>Concierges</t>
  </si>
  <si>
    <t>Middle School Teachers, Except Special and Career/Technical Education</t>
  </si>
  <si>
    <t>15-1799</t>
  </si>
  <si>
    <t>Computer occupations, all other</t>
  </si>
  <si>
    <t>2342</t>
  </si>
  <si>
    <t>Early childhood educators</t>
  </si>
  <si>
    <t>Preschool Teachers, Except Special Education</t>
  </si>
  <si>
    <t>Kindergarten Teachers, Except Special Education</t>
  </si>
  <si>
    <t>Computer hardware engineers</t>
  </si>
  <si>
    <t>2351</t>
  </si>
  <si>
    <t>Education methods specialists</t>
  </si>
  <si>
    <t>Instructional Coordinators</t>
  </si>
  <si>
    <t>Survey researchers</t>
  </si>
  <si>
    <t>2352</t>
  </si>
  <si>
    <t>Special needs teachers</t>
  </si>
  <si>
    <t>25-2051</t>
  </si>
  <si>
    <t>Special Education Teachers, Preschool</t>
  </si>
  <si>
    <t>13-1199</t>
  </si>
  <si>
    <t>Business operations specialists, all other</t>
  </si>
  <si>
    <t>25-2052</t>
  </si>
  <si>
    <t>Special Education Teachers, Kindergarten and Elementary School</t>
  </si>
  <si>
    <t>13-2051</t>
  </si>
  <si>
    <t>Financial analysts</t>
  </si>
  <si>
    <t>Special Education Teachers, Middle School</t>
  </si>
  <si>
    <t>29-2037</t>
  </si>
  <si>
    <t>Radiologic technologists and technicians</t>
  </si>
  <si>
    <t>Special Education Teachers, Secondary School</t>
  </si>
  <si>
    <t>29-2031</t>
  </si>
  <si>
    <t>Cardiovascular technologists and technicians</t>
  </si>
  <si>
    <t>25-2059</t>
  </si>
  <si>
    <t>Special Education Teachers, All Other</t>
  </si>
  <si>
    <t>13-1011</t>
  </si>
  <si>
    <t>Agents and business managers of artists, performers, and athletes</t>
  </si>
  <si>
    <t>2353</t>
  </si>
  <si>
    <t>Other language teachers</t>
  </si>
  <si>
    <t xml:space="preserve">Adult Basic and Secondary Education and Literacy Teachers and Instructors </t>
  </si>
  <si>
    <t>17-3029</t>
  </si>
  <si>
    <t>Engineering technicians, except drafters, all other</t>
  </si>
  <si>
    <t>Self-Enrichment Education Teachers</t>
  </si>
  <si>
    <t>19-3092</t>
  </si>
  <si>
    <t>Geographers</t>
  </si>
  <si>
    <t>25-3099</t>
  </si>
  <si>
    <t>Teachers and Instructors, All Other</t>
  </si>
  <si>
    <t>29-9012</t>
  </si>
  <si>
    <t>Occupational health and safety technicians</t>
  </si>
  <si>
    <t>2354</t>
  </si>
  <si>
    <t>Other music teachers</t>
  </si>
  <si>
    <t>21-1092</t>
  </si>
  <si>
    <t>Probation officers and correctional treatment specialists</t>
  </si>
  <si>
    <t>2355</t>
  </si>
  <si>
    <t>Other arts teachers</t>
  </si>
  <si>
    <t>17-3025</t>
  </si>
  <si>
    <t>Environmental engineering technicians</t>
  </si>
  <si>
    <t>Managers, all other</t>
  </si>
  <si>
    <t>2356</t>
  </si>
  <si>
    <t>Information technology trainers</t>
  </si>
  <si>
    <t>Training and Development Specialists</t>
  </si>
  <si>
    <t>53-3011</t>
  </si>
  <si>
    <t>Ambulance drivers and attendants, except emergency medical technicians</t>
  </si>
  <si>
    <t>2359</t>
  </si>
  <si>
    <t>Teaching professionals not elsewhere classified</t>
  </si>
  <si>
    <t>Educational, Guidance, School, and Vocational Counselors</t>
  </si>
  <si>
    <t>41-4011</t>
  </si>
  <si>
    <t>Sales representatives, wholesale and manufacturing, technical and scientific products</t>
  </si>
  <si>
    <t>Career/technical education teachers, middle school</t>
  </si>
  <si>
    <t>25-9099</t>
  </si>
  <si>
    <t>Education, Training, and Library Workers, All Other</t>
  </si>
  <si>
    <t>53-5021</t>
  </si>
  <si>
    <t>Captains, mates, and pilots of water vessels</t>
  </si>
  <si>
    <t>2411</t>
  </si>
  <si>
    <t>Accountants</t>
  </si>
  <si>
    <t>13-2011</t>
  </si>
  <si>
    <t>Accountants and Auditors</t>
  </si>
  <si>
    <t>31-2012</t>
  </si>
  <si>
    <t>Occupational therapy aides</t>
  </si>
  <si>
    <t>13-2031</t>
  </si>
  <si>
    <t>Budget Analysts</t>
  </si>
  <si>
    <t>49-9062</t>
  </si>
  <si>
    <t>Medical equipment repairers</t>
  </si>
  <si>
    <t>13-2082</t>
  </si>
  <si>
    <t>Tax Preparers</t>
  </si>
  <si>
    <t>41-1011</t>
  </si>
  <si>
    <t>First-line supervisors of retail sales workers</t>
  </si>
  <si>
    <t>2412</t>
  </si>
  <si>
    <t>Financial and investment advisers</t>
  </si>
  <si>
    <t>Financial Analysts</t>
  </si>
  <si>
    <t>27-2021</t>
  </si>
  <si>
    <t>Athletes and sports competitors</t>
  </si>
  <si>
    <t>13-2052</t>
  </si>
  <si>
    <t>Personal Financial Advisors</t>
  </si>
  <si>
    <t>39-1011</t>
  </si>
  <si>
    <t>Gaming supervisors</t>
  </si>
  <si>
    <t>2413</t>
  </si>
  <si>
    <t>13-2041</t>
  </si>
  <si>
    <t>Credit Analysts</t>
  </si>
  <si>
    <t>39-5094</t>
  </si>
  <si>
    <t>Skincare specialists</t>
  </si>
  <si>
    <t>13-1022</t>
  </si>
  <si>
    <t>Wholesale and retail buyers, except farm products</t>
  </si>
  <si>
    <t>Financial Examiners</t>
  </si>
  <si>
    <t>19-4021</t>
  </si>
  <si>
    <t>Biological technicians</t>
  </si>
  <si>
    <t>2421</t>
  </si>
  <si>
    <t>Management and organization analysts</t>
  </si>
  <si>
    <t>31-9092</t>
  </si>
  <si>
    <t>Medical assistants</t>
  </si>
  <si>
    <t>Management Analysts</t>
  </si>
  <si>
    <t>Zoologists and wildlife biologists</t>
  </si>
  <si>
    <t>2422</t>
  </si>
  <si>
    <t>Policy administration professionals</t>
  </si>
  <si>
    <t>Business Operations Specialists, All Other</t>
  </si>
  <si>
    <t>35-2013</t>
  </si>
  <si>
    <t>Cooks, private household</t>
  </si>
  <si>
    <t>2423</t>
  </si>
  <si>
    <t>Personnel and careers professionals</t>
  </si>
  <si>
    <t>13-1071</t>
  </si>
  <si>
    <t>Human Resources Specialists</t>
  </si>
  <si>
    <t>13-1078</t>
  </si>
  <si>
    <t>Human resources, training, and labour relations specialists, all other</t>
  </si>
  <si>
    <t>13-1075</t>
  </si>
  <si>
    <t>Labor Relations Specialists</t>
  </si>
  <si>
    <t>33-9021</t>
  </si>
  <si>
    <t>Private detectives and investigators</t>
  </si>
  <si>
    <t>13-1141</t>
  </si>
  <si>
    <t>Compensation, Benefits, and Job Analysis Specialists</t>
  </si>
  <si>
    <t>27-4032</t>
  </si>
  <si>
    <t>Film and video editors</t>
  </si>
  <si>
    <t>13-2099</t>
  </si>
  <si>
    <t>Financial specialists, all other</t>
  </si>
  <si>
    <t>2424</t>
  </si>
  <si>
    <t>Training and staff development professionals</t>
  </si>
  <si>
    <t>33-3021</t>
  </si>
  <si>
    <t>Detectives and criminal investigators</t>
  </si>
  <si>
    <t>2431</t>
  </si>
  <si>
    <t>Advertising and marketing professionals</t>
  </si>
  <si>
    <t>13-1161</t>
  </si>
  <si>
    <t>Market Research Analysts and Marketing Specialists</t>
  </si>
  <si>
    <t>29-2055</t>
  </si>
  <si>
    <t>Surgical technologists</t>
  </si>
  <si>
    <t>Writers and Authors</t>
  </si>
  <si>
    <t>29-1124</t>
  </si>
  <si>
    <t>Radiation therapists</t>
  </si>
  <si>
    <t>2432</t>
  </si>
  <si>
    <t>Public relations professionals</t>
  </si>
  <si>
    <t>Public Relations Specialists</t>
  </si>
  <si>
    <t>47-2152</t>
  </si>
  <si>
    <t>Plumbers, pipefitters, and steamfitters</t>
  </si>
  <si>
    <t>2433</t>
  </si>
  <si>
    <t>Technical and medical sales professionals (excluding ICT)</t>
  </si>
  <si>
    <t>First-Line Supervisors of Non-Retail Sales Workers</t>
  </si>
  <si>
    <t>53-2031</t>
  </si>
  <si>
    <t>Flight attendants</t>
  </si>
  <si>
    <t>Sales Representatives, Wholesale and Manufacturing, Technical and Scientific Products</t>
  </si>
  <si>
    <t>29-2032</t>
  </si>
  <si>
    <t>Diagnostic medical sonographers</t>
  </si>
  <si>
    <t>2434</t>
  </si>
  <si>
    <t>Information and communications technology sales professionals</t>
  </si>
  <si>
    <t>33-3011</t>
  </si>
  <si>
    <t>Bailiffs</t>
  </si>
  <si>
    <t>51-4012</t>
  </si>
  <si>
    <t>Computer numerically controlled machine tool programmers, metal and plastic</t>
  </si>
  <si>
    <t>Sales Engineers</t>
  </si>
  <si>
    <t>49-2022</t>
  </si>
  <si>
    <t>Telecommunications equipment installers and repairers, except line installers</t>
  </si>
  <si>
    <t>2511</t>
  </si>
  <si>
    <t>Systems analysts</t>
  </si>
  <si>
    <t>Computer and Information Research Scientists</t>
  </si>
  <si>
    <t>51-9051</t>
  </si>
  <si>
    <t>Furnace, kiln, oven, drier, and kettle operators and tenders</t>
  </si>
  <si>
    <t>Computer Systems Analysts</t>
  </si>
  <si>
    <t>53-7061</t>
  </si>
  <si>
    <t>Cleaners of vehicles and equipment										and</t>
  </si>
  <si>
    <t>2512</t>
  </si>
  <si>
    <t>Software developers</t>
  </si>
  <si>
    <t>Software Developers, Applications</t>
  </si>
  <si>
    <t>39-4021</t>
  </si>
  <si>
    <t>Funeral attendants</t>
  </si>
  <si>
    <t>Software Developers, Systems Software</t>
  </si>
  <si>
    <t>47-5081</t>
  </si>
  <si>
    <t>Helpers–extraction workers</t>
  </si>
  <si>
    <t>2513</t>
  </si>
  <si>
    <t>Web and multimedia developers</t>
  </si>
  <si>
    <t>15-1134</t>
  </si>
  <si>
    <t>Web Developers</t>
  </si>
  <si>
    <t>27-2011</t>
  </si>
  <si>
    <t>Actors</t>
  </si>
  <si>
    <t>2514</t>
  </si>
  <si>
    <t>Applications programmers</t>
  </si>
  <si>
    <t>15-1131</t>
  </si>
  <si>
    <t>Computer Programmers</t>
  </si>
  <si>
    <t>53-7111</t>
  </si>
  <si>
    <t>Mine shuttle car operators</t>
  </si>
  <si>
    <t>2519</t>
  </si>
  <si>
    <t>Software and applications developers and analysts not elsewhere classified</t>
  </si>
  <si>
    <t>15-1199</t>
  </si>
  <si>
    <t>Computer Occupations, All Other</t>
  </si>
  <si>
    <t>49-2095</t>
  </si>
  <si>
    <t>Electrical and electronics repairers, powerhouse, substation, and relay</t>
  </si>
  <si>
    <t>2521</t>
  </si>
  <si>
    <t>Database designers and administrators</t>
  </si>
  <si>
    <t>Database Administrators</t>
  </si>
  <si>
    <t>2522</t>
  </si>
  <si>
    <t>Systems administrators</t>
  </si>
  <si>
    <t>Network and Computer Systems Administrators</t>
  </si>
  <si>
    <t>17-3027</t>
  </si>
  <si>
    <t>Mechanical engineering technicians</t>
  </si>
  <si>
    <t>2523</t>
  </si>
  <si>
    <t>Computer network professionals</t>
  </si>
  <si>
    <t>15-1143</t>
  </si>
  <si>
    <t>Computer Network Architects</t>
  </si>
  <si>
    <t>53-7064</t>
  </si>
  <si>
    <t>Packers and packagers, hand</t>
  </si>
  <si>
    <t>2529</t>
  </si>
  <si>
    <t>Database and network professionals not elsewhere classified</t>
  </si>
  <si>
    <t>15-1122</t>
  </si>
  <si>
    <t>Information Security Analysts</t>
  </si>
  <si>
    <t>27-3091</t>
  </si>
  <si>
    <t>Interpreters and translators</t>
  </si>
  <si>
    <t>31-1011</t>
  </si>
  <si>
    <t>Home health aides</t>
  </si>
  <si>
    <t>2611</t>
  </si>
  <si>
    <t>51-6093</t>
  </si>
  <si>
    <t>Upholsterers</t>
  </si>
  <si>
    <t>2612</t>
  </si>
  <si>
    <t>Judges</t>
  </si>
  <si>
    <t>23-1021</t>
  </si>
  <si>
    <t>Administrative Law Judges, Adjudicators, and Hearing Officers</t>
  </si>
  <si>
    <t>47-4021</t>
  </si>
  <si>
    <t>Elevator installers and repairers</t>
  </si>
  <si>
    <t>23-1023</t>
  </si>
  <si>
    <t>Judges, Magistrate Judges, and Magistrates</t>
  </si>
  <si>
    <t>43-3041</t>
  </si>
  <si>
    <t>Gaming cage workers</t>
  </si>
  <si>
    <t>2619</t>
  </si>
  <si>
    <t>Legal professionals not elsewhere classified</t>
  </si>
  <si>
    <t>Arbitrators, Mediators, and Conciliators</t>
  </si>
  <si>
    <t>25-9011</t>
  </si>
  <si>
    <t>Audio-visual and multimedia collections specialists</t>
  </si>
  <si>
    <t>2621</t>
  </si>
  <si>
    <t>Archivists and curators</t>
  </si>
  <si>
    <t>25-4011</t>
  </si>
  <si>
    <t>Archivists</t>
  </si>
  <si>
    <t>Judges, magistrate judges, and magistrates</t>
  </si>
  <si>
    <t>49-3042</t>
  </si>
  <si>
    <t>Mobile heavy equipment mechanics, except engines</t>
  </si>
  <si>
    <t>2622</t>
  </si>
  <si>
    <t>Librarians and related information professionals</t>
  </si>
  <si>
    <t>25-4021</t>
  </si>
  <si>
    <t>Librarians</t>
  </si>
  <si>
    <t>29-2799</t>
  </si>
  <si>
    <t>Health technologists and technicians, all other</t>
  </si>
  <si>
    <t>Audio-Visual and Multimedia Collections Specialists</t>
  </si>
  <si>
    <t>45-2041</t>
  </si>
  <si>
    <t>Graders and sorters, agricultural products</t>
  </si>
  <si>
    <t>2631</t>
  </si>
  <si>
    <t>Economists</t>
  </si>
  <si>
    <t>19-3011</t>
  </si>
  <si>
    <t>51-2041</t>
  </si>
  <si>
    <t>Structural metal fabricators and fitters</t>
  </si>
  <si>
    <t>2632</t>
  </si>
  <si>
    <t>Sociologists, anthropologists and related professionals</t>
  </si>
  <si>
    <t>23-1012</t>
  </si>
  <si>
    <t>Judicial law clerks</t>
  </si>
  <si>
    <t>Anthropologists and Archeologists</t>
  </si>
  <si>
    <t>49-2094</t>
  </si>
  <si>
    <t>Electrical and electronics repairers, commercial and industrial equipment</t>
  </si>
  <si>
    <t>19-4093</t>
  </si>
  <si>
    <t>Forest and conservation technicians</t>
  </si>
  <si>
    <t>2633</t>
  </si>
  <si>
    <t>Philosophers, historians and political scientists</t>
  </si>
  <si>
    <t>19-3093</t>
  </si>
  <si>
    <t>Historians</t>
  </si>
  <si>
    <t>53-1021</t>
  </si>
  <si>
    <t>First-line supervisors of helpers, labourers, and material movers, hand</t>
  </si>
  <si>
    <t>Political Scientists</t>
  </si>
  <si>
    <t>39-3093</t>
  </si>
  <si>
    <t>Locker room, coatroom, and dressing room attendants</t>
  </si>
  <si>
    <t>Social Scientists and Related Workers, All Other</t>
  </si>
  <si>
    <t>Physical scientists, all other</t>
  </si>
  <si>
    <t>2634</t>
  </si>
  <si>
    <t>Psychologists</t>
  </si>
  <si>
    <t>Clinical, Counseling, and School Psychologists</t>
  </si>
  <si>
    <t>Industrial-Organizational Psychologists</t>
  </si>
  <si>
    <t>Psychologists, All Other</t>
  </si>
  <si>
    <t>51-9082</t>
  </si>
  <si>
    <t>Medical appliance technicians</t>
  </si>
  <si>
    <t>2635</t>
  </si>
  <si>
    <t>Social work and counselling professionals</t>
  </si>
  <si>
    <t>Substance Abuse and Behavioral Disorder Counselors</t>
  </si>
  <si>
    <t>43-4031</t>
  </si>
  <si>
    <t>Court, municipal, and license clerks</t>
  </si>
  <si>
    <t>Marriage and Family Therapists</t>
  </si>
  <si>
    <t>Compensation, benefits, and job analysis specialists</t>
  </si>
  <si>
    <t>Mental Health Counselors</t>
  </si>
  <si>
    <t>31-1013</t>
  </si>
  <si>
    <t>Psychiatric aides</t>
  </si>
  <si>
    <t>Rehabilitation Counselors</t>
  </si>
  <si>
    <t>29-2012</t>
  </si>
  <si>
    <t>Medical and clinical laboratory technicians</t>
  </si>
  <si>
    <t>21-1019</t>
  </si>
  <si>
    <t>Counselors, All Other</t>
  </si>
  <si>
    <t>33-2021</t>
  </si>
  <si>
    <t>Fire inspectors and investigators</t>
  </si>
  <si>
    <t>Child, Family, and School Social Workers</t>
  </si>
  <si>
    <t>17-3021</t>
  </si>
  <si>
    <t>Aerospace engineering and operations technicians</t>
  </si>
  <si>
    <t>Healthcare Social Workers</t>
  </si>
  <si>
    <t>27-1026</t>
  </si>
  <si>
    <t>Merchandise displayers and window trimmers</t>
  </si>
  <si>
    <t>Mental Health and Substance Abuse Social Workers</t>
  </si>
  <si>
    <t>47-5031</t>
  </si>
  <si>
    <t>Explosives workers, ordnance handling experts, and blasters</t>
  </si>
  <si>
    <t>21-1029</t>
  </si>
  <si>
    <t>Social Workers, All Other</t>
  </si>
  <si>
    <t>Computer programmers</t>
  </si>
  <si>
    <t>Probation Officers and Correctional Treatment Specialists</t>
  </si>
  <si>
    <t>33-9091</t>
  </si>
  <si>
    <t>Crossing guards</t>
  </si>
  <si>
    <t>21-1099</t>
  </si>
  <si>
    <t>Community and Social Service Specialists, All Other</t>
  </si>
  <si>
    <t>Agricultural engineers</t>
  </si>
  <si>
    <t>2636</t>
  </si>
  <si>
    <t>Religious professionals</t>
  </si>
  <si>
    <t>47-5061</t>
  </si>
  <si>
    <t>Roof bolters, mining</t>
  </si>
  <si>
    <t>Directors, Religious Activities and Education</t>
  </si>
  <si>
    <t>49-9052</t>
  </si>
  <si>
    <t>Telecommunications line installers and repairers</t>
  </si>
  <si>
    <t>2641</t>
  </si>
  <si>
    <t>Authors and related writers</t>
  </si>
  <si>
    <t>43-5031</t>
  </si>
  <si>
    <t>Police, fire, and ambulance dispatchers</t>
  </si>
  <si>
    <t>27-3042</t>
  </si>
  <si>
    <t>Technical Writers</t>
  </si>
  <si>
    <t>53-7033</t>
  </si>
  <si>
    <t>Loading machine operators, underground mining</t>
  </si>
  <si>
    <t>49-9799</t>
  </si>
  <si>
    <t>Installation, maintenance, and repair workers, all other</t>
  </si>
  <si>
    <t>2642</t>
  </si>
  <si>
    <t>Journalists</t>
  </si>
  <si>
    <t>Reporters and Correspondents</t>
  </si>
  <si>
    <t>23-2091</t>
  </si>
  <si>
    <t>Court reporters</t>
  </si>
  <si>
    <t>41-9011</t>
  </si>
  <si>
    <t>Demonstrators and product promoters</t>
  </si>
  <si>
    <t>2643</t>
  </si>
  <si>
    <t>Translators, interpreters and other linguists</t>
  </si>
  <si>
    <t>31-9091</t>
  </si>
  <si>
    <t>Dental assistants</t>
  </si>
  <si>
    <t>Interpreters and Translators</t>
  </si>
  <si>
    <t>51-6041</t>
  </si>
  <si>
    <t>Shoe and leather workers and repairers</t>
  </si>
  <si>
    <t>2651</t>
  </si>
  <si>
    <t>Visual artists</t>
  </si>
  <si>
    <t>Craft Artists</t>
  </si>
  <si>
    <t>17-3011</t>
  </si>
  <si>
    <t>Architectural and civil drafters</t>
  </si>
  <si>
    <t>Fine Artists, Including Painters, Sculptors, and Illustrators</t>
  </si>
  <si>
    <t>47-5012</t>
  </si>
  <si>
    <t>Rotary drill operators, oil and gas</t>
  </si>
  <si>
    <t>2652</t>
  </si>
  <si>
    <t>Musicians, singers and composers</t>
  </si>
  <si>
    <t>Music Directors and Composers</t>
  </si>
  <si>
    <t>47-4041</t>
  </si>
  <si>
    <t>Hazardous materials removal workers</t>
  </si>
  <si>
    <t>Musicians and Singers</t>
  </si>
  <si>
    <t>39-4011</t>
  </si>
  <si>
    <t>Embalmers</t>
  </si>
  <si>
    <t>2653</t>
  </si>
  <si>
    <t>Dancers and choreographers</t>
  </si>
  <si>
    <t>47-5041</t>
  </si>
  <si>
    <t>Continuous mining machine operators</t>
  </si>
  <si>
    <t>39-1012</t>
  </si>
  <si>
    <t>Slot supervisors</t>
  </si>
  <si>
    <t>2654</t>
  </si>
  <si>
    <t>Film, stage and related directors and producers</t>
  </si>
  <si>
    <t>Art Directors</t>
  </si>
  <si>
    <t>31-9011</t>
  </si>
  <si>
    <t>Massage therapists</t>
  </si>
  <si>
    <t>Producers and Directors</t>
  </si>
  <si>
    <t>41-3011</t>
  </si>
  <si>
    <t>Advertising sales agents</t>
  </si>
  <si>
    <t>Film and Video Editors</t>
  </si>
  <si>
    <t>49-3022</t>
  </si>
  <si>
    <t>Automotive glass installers and repairers</t>
  </si>
  <si>
    <t>2655</t>
  </si>
  <si>
    <t>53-2012</t>
  </si>
  <si>
    <t>Commercial pilots</t>
  </si>
  <si>
    <t>2656</t>
  </si>
  <si>
    <t>Announcers on radio, television and other media</t>
  </si>
  <si>
    <t>Radio and Television Announcers</t>
  </si>
  <si>
    <t>43-4051</t>
  </si>
  <si>
    <t>Customer service representatives</t>
  </si>
  <si>
    <t>27-3012</t>
  </si>
  <si>
    <t>Public Address System and Other Announcers</t>
  </si>
  <si>
    <t>27-4011</t>
  </si>
  <si>
    <t>Audio and video equipment technicians</t>
  </si>
  <si>
    <t>Broadcast News Analysts</t>
  </si>
  <si>
    <t>25-9041</t>
  </si>
  <si>
    <t>Teacher assistants</t>
  </si>
  <si>
    <t>2659</t>
  </si>
  <si>
    <t>Creative and performing artists not elsewhere classified</t>
  </si>
  <si>
    <t>27-2099</t>
  </si>
  <si>
    <t>Entertainers and Performers, Sports and Related Workers, All Other</t>
  </si>
  <si>
    <t>45-1011</t>
  </si>
  <si>
    <t>First-line supervisors of farming, fishing, and forestry workers</t>
  </si>
  <si>
    <t>3111</t>
  </si>
  <si>
    <t>Chemical and physical science technicians</t>
  </si>
  <si>
    <t>19-4031</t>
  </si>
  <si>
    <t>Chemical Technicians</t>
  </si>
  <si>
    <t>Chemical technicians</t>
  </si>
  <si>
    <t>19-4041</t>
  </si>
  <si>
    <t>Geological and Petroleum Technicians</t>
  </si>
  <si>
    <t>47-3015</t>
  </si>
  <si>
    <t>Helpers–pipelayers, plumbers, pipefitters, and steamfitters</t>
  </si>
  <si>
    <t>19-4099</t>
  </si>
  <si>
    <t>Life, Physical, and Social Science Technicians, All Other</t>
  </si>
  <si>
    <t>13-1051</t>
  </si>
  <si>
    <t>Cost estimators</t>
  </si>
  <si>
    <t>3112</t>
  </si>
  <si>
    <t>Civil engineering technicians</t>
  </si>
  <si>
    <t>17-3022</t>
  </si>
  <si>
    <t>Civil Engineering Technicians</t>
  </si>
  <si>
    <t>33-3052</t>
  </si>
  <si>
    <t>Transit and railroad police</t>
  </si>
  <si>
    <t>17-3031</t>
  </si>
  <si>
    <t>Surveying and Mapping Technicians</t>
  </si>
  <si>
    <t>37-1012</t>
  </si>
  <si>
    <t>First-line supervisors of landscaping, lawn service, and groundskeeping workers</t>
  </si>
  <si>
    <t>First-Line Supervisors of Fire Fighting and Prevention Workers</t>
  </si>
  <si>
    <t>Personal financial advisors</t>
  </si>
  <si>
    <t>Fire Inspectors and Investigators</t>
  </si>
  <si>
    <t>49-9044</t>
  </si>
  <si>
    <t>Millwrights</t>
  </si>
  <si>
    <t>47-4011</t>
  </si>
  <si>
    <t>Construction and Building Inspectors</t>
  </si>
  <si>
    <t>25-4013</t>
  </si>
  <si>
    <t>Museum technicians and conservators</t>
  </si>
  <si>
    <t>3113</t>
  </si>
  <si>
    <t>Electrical engineering technicians</t>
  </si>
  <si>
    <t>17-3023</t>
  </si>
  <si>
    <t>Electrical and Electronics Engineering Technicians</t>
  </si>
  <si>
    <t>47-5042</t>
  </si>
  <si>
    <t>Mine cutting and channeling machine operators</t>
  </si>
  <si>
    <t>17-3024</t>
  </si>
  <si>
    <t>Electro-Mechanical Technicians</t>
  </si>
  <si>
    <t>Transportation, storage, and distribution managers</t>
  </si>
  <si>
    <t>3114</t>
  </si>
  <si>
    <t>Electronics engineering technicians</t>
  </si>
  <si>
    <t>49-3092</t>
  </si>
  <si>
    <t>Recreational vehicle service technicians</t>
  </si>
  <si>
    <t>3115</t>
  </si>
  <si>
    <t>Aerospace Engineering and Operations Technicians</t>
  </si>
  <si>
    <t>49-3023</t>
  </si>
  <si>
    <t>Automotive service technicians and mechanics</t>
  </si>
  <si>
    <t>33-3012</t>
  </si>
  <si>
    <t>Correctional officers and jailers</t>
  </si>
  <si>
    <t>Mechanical Engineering Technicians</t>
  </si>
  <si>
    <t>27-4031</t>
  </si>
  <si>
    <t>Camera operators, television, video, and motion picture</t>
  </si>
  <si>
    <t>Engineering Technicians, Except Drafters, All Other</t>
  </si>
  <si>
    <t>51-3023</t>
  </si>
  <si>
    <t>Slaughterers and meat packers</t>
  </si>
  <si>
    <t>3116</t>
  </si>
  <si>
    <t>Chemical engineering technicians</t>
  </si>
  <si>
    <t>49-2096</t>
  </si>
  <si>
    <t>Electronic equipment installers and repairers, motor vehicles</t>
  </si>
  <si>
    <t>3117</t>
  </si>
  <si>
    <t>Mining and metallurgical technicians</t>
  </si>
  <si>
    <t>31-2022</t>
  </si>
  <si>
    <t>Physical therapist aides</t>
  </si>
  <si>
    <t>39-3092</t>
  </si>
  <si>
    <t>Costume attendants</t>
  </si>
  <si>
    <t>3118</t>
  </si>
  <si>
    <t>Draughtspersons</t>
  </si>
  <si>
    <t>Architectural and Civil Drafters</t>
  </si>
  <si>
    <t>Market research analysts and marketing specialists</t>
  </si>
  <si>
    <t>17-3012</t>
  </si>
  <si>
    <t>Electrical and Electronics Drafters</t>
  </si>
  <si>
    <t>43-4181</t>
  </si>
  <si>
    <t>Reservation and transportation ticket agents and travel clerks</t>
  </si>
  <si>
    <t>17-3013</t>
  </si>
  <si>
    <t>Mechanical Drafters</t>
  </si>
  <si>
    <t>51-8031</t>
  </si>
  <si>
    <t>Water and wastewater treatment plant and system operators</t>
  </si>
  <si>
    <t>17-3019</t>
  </si>
  <si>
    <t>Drafters, All Other</t>
  </si>
  <si>
    <t>Life, physical, and social science technicians, all other										oper</t>
  </si>
  <si>
    <t>51-3093</t>
  </si>
  <si>
    <t>Food cooking machine operators and tenders</t>
  </si>
  <si>
    <t>3119</t>
  </si>
  <si>
    <t>Physical and engineering science technicians not elsewhere classified</t>
  </si>
  <si>
    <t>Environmental Engineering Technicians</t>
  </si>
  <si>
    <t>51-4122</t>
  </si>
  <si>
    <t>Welding, soldering, and brazing machine setters, operators, and tenders</t>
  </si>
  <si>
    <t>Industrial Engineering Technicians</t>
  </si>
  <si>
    <t>53-5022</t>
  </si>
  <si>
    <t>Motorboat operators</t>
  </si>
  <si>
    <t>47-2082</t>
  </si>
  <si>
    <t>Tapers</t>
  </si>
  <si>
    <t>19-4051</t>
  </si>
  <si>
    <t>Nuclear Technicians</t>
  </si>
  <si>
    <t>47-2151</t>
  </si>
  <si>
    <t>Pipelayers</t>
  </si>
  <si>
    <t>Forensic Science Technicians</t>
  </si>
  <si>
    <t>Geoscientists, except hydrologists and geographers</t>
  </si>
  <si>
    <t>49-9012</t>
  </si>
  <si>
    <t>Control and valve installers and repairers, except mechanical door</t>
  </si>
  <si>
    <t>31-9799</t>
  </si>
  <si>
    <t>Healthcare support workers, all other</t>
  </si>
  <si>
    <t>35-1012</t>
  </si>
  <si>
    <t>First-line supervisors of food preparation and serving workers</t>
  </si>
  <si>
    <t>Forest Fire Inspectors and Prevention Specialists</t>
  </si>
  <si>
    <t>Construction and building inspectors</t>
  </si>
  <si>
    <t>53-6041</t>
  </si>
  <si>
    <t>Traffic Technicians</t>
  </si>
  <si>
    <t>51-9031</t>
  </si>
  <si>
    <t>Cutters and trimmers, hand</t>
  </si>
  <si>
    <t>3121</t>
  </si>
  <si>
    <t>Mining supervisors</t>
  </si>
  <si>
    <t>First-Line Supervisors of Construction Trades and Extraction Workers</t>
  </si>
  <si>
    <t>49-9071</t>
  </si>
  <si>
    <t>Maintenance and repair workers, general</t>
  </si>
  <si>
    <t>3122</t>
  </si>
  <si>
    <t>Manufacturing supervisors</t>
  </si>
  <si>
    <t>First-Line Supervisors of Production and Operating Workers</t>
  </si>
  <si>
    <t>Administrative law judges, adjudicators, and hearing officers</t>
  </si>
  <si>
    <t>3123</t>
  </si>
  <si>
    <t>Construction supervisors</t>
  </si>
  <si>
    <t>43-5081</t>
  </si>
  <si>
    <t>Stock clerks and order fillers</t>
  </si>
  <si>
    <t>3131</t>
  </si>
  <si>
    <t>Power production plant operators</t>
  </si>
  <si>
    <t>51-8012</t>
  </si>
  <si>
    <t>Power distributors and dispatchers</t>
  </si>
  <si>
    <t>51-8011</t>
  </si>
  <si>
    <t>Nuclear Power Reactor Operators</t>
  </si>
  <si>
    <t>47-2132</t>
  </si>
  <si>
    <t>Insulation workers, mechanical</t>
  </si>
  <si>
    <t>Power Distributors and Dispatchers</t>
  </si>
  <si>
    <t>19-4061</t>
  </si>
  <si>
    <t>Social science research assistants</t>
  </si>
  <si>
    <t>51-8013</t>
  </si>
  <si>
    <t>Power Plant Operators</t>
  </si>
  <si>
    <t>51-4041</t>
  </si>
  <si>
    <t>Machinists</t>
  </si>
  <si>
    <t>3132</t>
  </si>
  <si>
    <t>Incinerator and water treatment plant operators</t>
  </si>
  <si>
    <t>15-1150</t>
  </si>
  <si>
    <t>Computer support specialists</t>
  </si>
  <si>
    <t>Water and Wastewater Treatment Plant and System Operators</t>
  </si>
  <si>
    <t>51-8099</t>
  </si>
  <si>
    <t>Plant and System Operators, All Other</t>
  </si>
  <si>
    <t>49-2097</t>
  </si>
  <si>
    <t>Electronic home entertainment equipment installers and repairers</t>
  </si>
  <si>
    <t>53-7072</t>
  </si>
  <si>
    <t>Pump Operators, Except Wellhead Pumpers</t>
  </si>
  <si>
    <t>49-9021</t>
  </si>
  <si>
    <t>Heating, air conditioning, and refrigeration mechanics and installers</t>
  </si>
  <si>
    <t>3133</t>
  </si>
  <si>
    <t>Chemical processing plant controllers</t>
  </si>
  <si>
    <t>51-8091</t>
  </si>
  <si>
    <t>Chemical Plant and System Operators</t>
  </si>
  <si>
    <t>53-7041</t>
  </si>
  <si>
    <t>Hoist and winch operators</t>
  </si>
  <si>
    <t>3134</t>
  </si>
  <si>
    <t>Petroleum and natural gas refining plant operators</t>
  </si>
  <si>
    <t>51-8092</t>
  </si>
  <si>
    <t>Gas Plant Operators</t>
  </si>
  <si>
    <t>37-2021</t>
  </si>
  <si>
    <t>Pest control workers</t>
  </si>
  <si>
    <t>51-8093</t>
  </si>
  <si>
    <t>Petroleum Pump System Operators, Refinery Operators, and Gaugers</t>
  </si>
  <si>
    <t>51-9198</t>
  </si>
  <si>
    <t>Helpers–production workers</t>
  </si>
  <si>
    <t>53-7071</t>
  </si>
  <si>
    <t>Gas Compressor and Gas Pumping Station Operators</t>
  </si>
  <si>
    <t>43-9111</t>
  </si>
  <si>
    <t>Statistical assistants</t>
  </si>
  <si>
    <t>37-2011</t>
  </si>
  <si>
    <t>Janitors and cleaners, except maids and housekeeping cleaners</t>
  </si>
  <si>
    <t>3135</t>
  </si>
  <si>
    <t>Metal production process controllers</t>
  </si>
  <si>
    <t>51-4051</t>
  </si>
  <si>
    <t>Metal-Refining Furnace Operators and Tenders</t>
  </si>
  <si>
    <t>49-3051</t>
  </si>
  <si>
    <t>Motorboat mechanics and service technicians</t>
  </si>
  <si>
    <t>3139</t>
  </si>
  <si>
    <t>Process control technicians not elsewhere classified</t>
  </si>
  <si>
    <t>Computer Numerically Controlled Machine Tool Programmers, Metal and Plastic</t>
  </si>
  <si>
    <t>51-9196</t>
  </si>
  <si>
    <t>Paper goods machine setters, operators, and tenders</t>
  </si>
  <si>
    <t>3141</t>
  </si>
  <si>
    <t>Life science technicians (excluding medical)</t>
  </si>
  <si>
    <t>Biological Technicians</t>
  </si>
  <si>
    <t>51-4071</t>
  </si>
  <si>
    <t>Foundry mold and coremakers</t>
  </si>
  <si>
    <t>19-4091</t>
  </si>
  <si>
    <t>Environmental Science and Protection Technicians, Including Health</t>
  </si>
  <si>
    <t>Atmospheric and space scientists</t>
  </si>
  <si>
    <t>3142</t>
  </si>
  <si>
    <t>Agricultural technicians</t>
  </si>
  <si>
    <t>19-4011</t>
  </si>
  <si>
    <t>Agricultural and Food Science Technicians</t>
  </si>
  <si>
    <t>53-3021</t>
  </si>
  <si>
    <t>Bus drivers, transit and intercity</t>
  </si>
  <si>
    <t>3143</t>
  </si>
  <si>
    <t>Forestry technicians</t>
  </si>
  <si>
    <t>Forest and Conservation Technicians</t>
  </si>
  <si>
    <t>33-9092</t>
  </si>
  <si>
    <t>Lifeguards, ski patrol, and other recreational protective service workers</t>
  </si>
  <si>
    <t>315</t>
  </si>
  <si>
    <t>Ship and aircraft controllers and technicians</t>
  </si>
  <si>
    <t>53-2022</t>
  </si>
  <si>
    <t>Airfield Operations Specialists</t>
  </si>
  <si>
    <t>49-9041</t>
  </si>
  <si>
    <t>Industrial machinery mechanics</t>
  </si>
  <si>
    <t>3151</t>
  </si>
  <si>
    <t>Ships' engineers</t>
  </si>
  <si>
    <t>First-Line Supervisors of Transportation and Material-Moving Machine and Vehicle Operators</t>
  </si>
  <si>
    <t>43-5052</t>
  </si>
  <si>
    <t>Postal service mail carriers</t>
  </si>
  <si>
    <t>Ship Engineers</t>
  </si>
  <si>
    <t>47-5071</t>
  </si>
  <si>
    <t>Roustabouts, oil and gas</t>
  </si>
  <si>
    <t>3152</t>
  </si>
  <si>
    <t>Ships' deck officers and pilots</t>
  </si>
  <si>
    <t>47-2011</t>
  </si>
  <si>
    <t>Boilermakers</t>
  </si>
  <si>
    <t>Captains, Mates, and Pilots of Water Vessels</t>
  </si>
  <si>
    <t>Mechanical drafters</t>
  </si>
  <si>
    <t>3153</t>
  </si>
  <si>
    <t>Aircraft pilots and related associate professionals</t>
  </si>
  <si>
    <t>29-2021</t>
  </si>
  <si>
    <t>Dental hygienists</t>
  </si>
  <si>
    <t>Airline Pilots, Copilots, and Flight Engineers</t>
  </si>
  <si>
    <t>53-3033</t>
  </si>
  <si>
    <t>Light truck or delivery services drivers</t>
  </si>
  <si>
    <t>Commercial Pilots</t>
  </si>
  <si>
    <t>37-2012</t>
  </si>
  <si>
    <t>Maids and housekeeping cleaners</t>
  </si>
  <si>
    <t>3154</t>
  </si>
  <si>
    <t>51-9122</t>
  </si>
  <si>
    <t>Painters, transportation equipment</t>
  </si>
  <si>
    <t>Air Traffic Controllers</t>
  </si>
  <si>
    <t>43-4061</t>
  </si>
  <si>
    <t>Eligibility interviewers, government programs</t>
  </si>
  <si>
    <t>3155</t>
  </si>
  <si>
    <t>Air traffic safety electronics technicians</t>
  </si>
  <si>
    <t>49-3093</t>
  </si>
  <si>
    <t>Tire repairers and changers</t>
  </si>
  <si>
    <t>3211</t>
  </si>
  <si>
    <t>Medical imaging and therapeutic equipment technicians</t>
  </si>
  <si>
    <t>Radiation Therapists</t>
  </si>
  <si>
    <t>51-3092</t>
  </si>
  <si>
    <t>Food batchmakers</t>
  </si>
  <si>
    <t>Diagnostic Medical Sonographers</t>
  </si>
  <si>
    <t>49-2091</t>
  </si>
  <si>
    <t>Avionics technicians</t>
  </si>
  <si>
    <t>Nuclear Medicine Technologists</t>
  </si>
  <si>
    <t>49-3011</t>
  </si>
  <si>
    <t>Aircraft mechanics and service technicians</t>
  </si>
  <si>
    <t>29-2034</t>
  </si>
  <si>
    <t xml:space="preserve">Radiologic Technologists </t>
  </si>
  <si>
    <t>Airfield operations specialists</t>
  </si>
  <si>
    <t>29-2035</t>
  </si>
  <si>
    <t>Magnetic Resonance Imaging Technologists</t>
  </si>
  <si>
    <t>Petroleum pump system operators, refinery operators, and gaugers</t>
  </si>
  <si>
    <t>3212</t>
  </si>
  <si>
    <t xml:space="preserve">Medical and pathology laboratory technicians </t>
  </si>
  <si>
    <t>29-2011</t>
  </si>
  <si>
    <t>Medical and Clinical Laboratory Technologists</t>
  </si>
  <si>
    <t>47-4799</t>
  </si>
  <si>
    <t>Construction and related workers, all other</t>
  </si>
  <si>
    <t>Medical and Clinical Laboratory Technicians</t>
  </si>
  <si>
    <t>29-2081</t>
  </si>
  <si>
    <t>Opticians, dispensing</t>
  </si>
  <si>
    <t>3213</t>
  </si>
  <si>
    <t>Pharmaceutical technicians and assistants</t>
  </si>
  <si>
    <t>29-2052</t>
  </si>
  <si>
    <t>Pharmacy Technicians</t>
  </si>
  <si>
    <t>51-6011</t>
  </si>
  <si>
    <t>Laundry and dry-cleaning workers</t>
  </si>
  <si>
    <t>3214</t>
  </si>
  <si>
    <t>Medical and dental prosthetic technicians</t>
  </si>
  <si>
    <t>Orthotists and Prosthetists</t>
  </si>
  <si>
    <t>39-3091</t>
  </si>
  <si>
    <t>Amusement and recreation attendants</t>
  </si>
  <si>
    <t>29-2092</t>
  </si>
  <si>
    <t>Hearing Aid Specialists</t>
  </si>
  <si>
    <t>31-9095</t>
  </si>
  <si>
    <t>Pharmacy aides</t>
  </si>
  <si>
    <t>51-9081</t>
  </si>
  <si>
    <t>Dental Laboratory Technicians</t>
  </si>
  <si>
    <t>47-3016</t>
  </si>
  <si>
    <t>Helpers–roofers</t>
  </si>
  <si>
    <t>Medical Appliance Technicians</t>
  </si>
  <si>
    <t>53-7121</t>
  </si>
  <si>
    <t>Tank car, truck, and ship loaders</t>
  </si>
  <si>
    <t>3221</t>
  </si>
  <si>
    <t>Nursing associate professionals</t>
  </si>
  <si>
    <t>Licensed Practical and Licensed Vocational Nurses</t>
  </si>
  <si>
    <t>49-9031</t>
  </si>
  <si>
    <t>Home appliance repairers</t>
  </si>
  <si>
    <t>3222</t>
  </si>
  <si>
    <t>Midwifery associate professionals</t>
  </si>
  <si>
    <t>29-9099</t>
  </si>
  <si>
    <t>Healthcare Practitioners and Technical Workers, All Other</t>
  </si>
  <si>
    <t>47-2031</t>
  </si>
  <si>
    <t>Carpenters</t>
  </si>
  <si>
    <t>3230</t>
  </si>
  <si>
    <t>Traditional and complementary medicine associate professionals</t>
  </si>
  <si>
    <t>Public address system and other announcers</t>
  </si>
  <si>
    <t>3240</t>
  </si>
  <si>
    <t>Veterinary technicians and assistants</t>
  </si>
  <si>
    <t>Veterinary Technologists and Technicians</t>
  </si>
  <si>
    <t>51-6063</t>
  </si>
  <si>
    <t>Textile knitting and weaving machine setters, operators, and tenders</t>
  </si>
  <si>
    <t>31-9096</t>
  </si>
  <si>
    <t>Veterinary Assistants and Laboratory Animal Caretakers</t>
  </si>
  <si>
    <t>Administrative services managers</t>
  </si>
  <si>
    <t>3251</t>
  </si>
  <si>
    <t>Dental assistants and therapists</t>
  </si>
  <si>
    <t>Dental Hygienists</t>
  </si>
  <si>
    <t>47-2121</t>
  </si>
  <si>
    <t>Glaziers</t>
  </si>
  <si>
    <t>Dental Assistants</t>
  </si>
  <si>
    <t>51-2021</t>
  </si>
  <si>
    <t>Coil winders, tapers, and finishers</t>
  </si>
  <si>
    <t>3252</t>
  </si>
  <si>
    <t>Medical records and health information technicians</t>
  </si>
  <si>
    <t>29-2071</t>
  </si>
  <si>
    <t>Medical Records and Health Information Technicians</t>
  </si>
  <si>
    <t>49-3031</t>
  </si>
  <si>
    <t>Bus and truck mechanics and diesel engine specialists</t>
  </si>
  <si>
    <t>3253</t>
  </si>
  <si>
    <t>Community health workers</t>
  </si>
  <si>
    <t>21-1094</t>
  </si>
  <si>
    <t>Community Health Workers</t>
  </si>
  <si>
    <t>49-2011</t>
  </si>
  <si>
    <t>Computer, automated teller, and office machine repairers										specialist</t>
  </si>
  <si>
    <t>3254</t>
  </si>
  <si>
    <t>Dispensing opticians</t>
  </si>
  <si>
    <t>Opticians, Dispensing</t>
  </si>
  <si>
    <t>39-9021</t>
  </si>
  <si>
    <t>Personal care aides</t>
  </si>
  <si>
    <t>3255</t>
  </si>
  <si>
    <t>Physiotherapy technicians and assistants</t>
  </si>
  <si>
    <t>27-4012</t>
  </si>
  <si>
    <t>Broadcast technicians</t>
  </si>
  <si>
    <t>Physical Therapist Assistants</t>
  </si>
  <si>
    <t>47-3013</t>
  </si>
  <si>
    <t>Helpers–electricians</t>
  </si>
  <si>
    <t>Massage Therapists</t>
  </si>
  <si>
    <t>Postmasters and mail superintendents</t>
  </si>
  <si>
    <t>3256</t>
  </si>
  <si>
    <t>29-2057</t>
  </si>
  <si>
    <t>Ophthalmic Medical Technicians</t>
  </si>
  <si>
    <t>47-2044</t>
  </si>
  <si>
    <t>Tile and marble setters</t>
  </si>
  <si>
    <t>Medical Assistants</t>
  </si>
  <si>
    <t>47-2141</t>
  </si>
  <si>
    <t>Painters, construction and maintenance</t>
  </si>
  <si>
    <t>3257</t>
  </si>
  <si>
    <t>Environmental and occupational health inspectors and associates</t>
  </si>
  <si>
    <t>Occupational Health and Safety Technicians</t>
  </si>
  <si>
    <t>53-6061</t>
  </si>
  <si>
    <t>Transportation attendants, except flight attendants</t>
  </si>
  <si>
    <t>45-2011</t>
  </si>
  <si>
    <t>Agricultural Inspectors</t>
  </si>
  <si>
    <t>49-3041</t>
  </si>
  <si>
    <t>Farm equipment mechanics and service technicians</t>
  </si>
  <si>
    <t>53-6051</t>
  </si>
  <si>
    <t>Transportation Inspectors</t>
  </si>
  <si>
    <t>3258</t>
  </si>
  <si>
    <t>Ambulance workers</t>
  </si>
  <si>
    <t>Emergency Medical Technicians and Paramedics</t>
  </si>
  <si>
    <t>51-9011</t>
  </si>
  <si>
    <t>Chemical equipment operators and tenders</t>
  </si>
  <si>
    <t>3259</t>
  </si>
  <si>
    <t>Health associate professionals not elsewhere classified</t>
  </si>
  <si>
    <t>Respiratory Therapists</t>
  </si>
  <si>
    <t>49-2092</t>
  </si>
  <si>
    <t>Electric motor, power tool, and related repairers</t>
  </si>
  <si>
    <t>Cardiovascular Technologists and Technicians</t>
  </si>
  <si>
    <t>45-4021</t>
  </si>
  <si>
    <t>Fallers</t>
  </si>
  <si>
    <t>Dietetic Technicians</t>
  </si>
  <si>
    <t>Environmental science and protection technicians, including health</t>
  </si>
  <si>
    <t>Psychiatric Technicians</t>
  </si>
  <si>
    <t>49-9094</t>
  </si>
  <si>
    <t>Locksmiths and safe repairers</t>
  </si>
  <si>
    <t>Respiratory Therapy Technicians</t>
  </si>
  <si>
    <t>37-3013</t>
  </si>
  <si>
    <t>Tree trimmers and pruners</t>
  </si>
  <si>
    <t>Surgical Technologists</t>
  </si>
  <si>
    <t>35-3011</t>
  </si>
  <si>
    <t>Bartenders</t>
  </si>
  <si>
    <t>29-2099</t>
  </si>
  <si>
    <t>Health Technologists and Technicians, All Other</t>
  </si>
  <si>
    <t>13-1023</t>
  </si>
  <si>
    <t>Purchasing agents, except wholesale, retail, and farm products</t>
  </si>
  <si>
    <t>35-9021</t>
  </si>
  <si>
    <t>Dishwashers</t>
  </si>
  <si>
    <t>Occupational Therapy Assistants</t>
  </si>
  <si>
    <t>45-3021</t>
  </si>
  <si>
    <t>Hunters and trappers</t>
  </si>
  <si>
    <t>31-9099</t>
  </si>
  <si>
    <t>Healthcare Support Workers, All Other</t>
  </si>
  <si>
    <t>31-9093</t>
  </si>
  <si>
    <t>Medical equipment preparers</t>
  </si>
  <si>
    <t>3311</t>
  </si>
  <si>
    <t>Securities and finance dealers and brokers</t>
  </si>
  <si>
    <t>51-4031</t>
  </si>
  <si>
    <t>Cutting, punching, and press machine setters, operators, and tenders, metal and plastic</t>
  </si>
  <si>
    <t>Securities, Commodities, and Financial Services Sales Agents</t>
  </si>
  <si>
    <t>43-9011</t>
  </si>
  <si>
    <t>Computer operators</t>
  </si>
  <si>
    <t>3312</t>
  </si>
  <si>
    <t>Credit and loans officers</t>
  </si>
  <si>
    <t>Credit Counselors</t>
  </si>
  <si>
    <t>Gas plant operators</t>
  </si>
  <si>
    <t>13-2072</t>
  </si>
  <si>
    <t>Loan Officers</t>
  </si>
  <si>
    <t>43-5053</t>
  </si>
  <si>
    <t>Postal service mail sorters, processors, and processing machine operators</t>
  </si>
  <si>
    <t>3313</t>
  </si>
  <si>
    <t>Accounting associate professionals</t>
  </si>
  <si>
    <t>43-3031</t>
  </si>
  <si>
    <t>Bookkeeping, Accounting, and Auditing Clerks</t>
  </si>
  <si>
    <t>53-3032</t>
  </si>
  <si>
    <t>Heavy and tractor-trailer truck drivers</t>
  </si>
  <si>
    <t>3314</t>
  </si>
  <si>
    <t>Statistical, mathematical and related associate professionals</t>
  </si>
  <si>
    <t>15-2091</t>
  </si>
  <si>
    <t>Mathematical Technicians</t>
  </si>
  <si>
    <t>39-5093</t>
  </si>
  <si>
    <t>Shampooers</t>
  </si>
  <si>
    <t>15-2099</t>
  </si>
  <si>
    <t>Mathematical Science Occupations, All Other</t>
  </si>
  <si>
    <t>47-2081</t>
  </si>
  <si>
    <t>Drywall and ceiling tile installers</t>
  </si>
  <si>
    <t>Social Science Research Assistants</t>
  </si>
  <si>
    <t>49-9098</t>
  </si>
  <si>
    <t>Helpers–installation, maintenance, and repair workers</t>
  </si>
  <si>
    <t>Statistical Assistants</t>
  </si>
  <si>
    <t>49-3052</t>
  </si>
  <si>
    <t>Motorcycle mechanics</t>
  </si>
  <si>
    <t>3315</t>
  </si>
  <si>
    <t>Valuers and loss assessors</t>
  </si>
  <si>
    <t>13-1031</t>
  </si>
  <si>
    <t>Claims Adjusters, Examiners, and Investigators</t>
  </si>
  <si>
    <t>51-2011</t>
  </si>
  <si>
    <t>Aircraft structure, surfaces, rigging, and systems assemblers</t>
  </si>
  <si>
    <t>13-1032</t>
  </si>
  <si>
    <t>Insurance Appraisers, Auto Damage</t>
  </si>
  <si>
    <t>45-4022</t>
  </si>
  <si>
    <t>Logging equipment operators</t>
  </si>
  <si>
    <t>13-2021</t>
  </si>
  <si>
    <t>Appraisers and Assessors of Real Estate</t>
  </si>
  <si>
    <t>47-2042</t>
  </si>
  <si>
    <t>Floor layers, except carpet, wood, and hard tiles</t>
  </si>
  <si>
    <t>3321</t>
  </si>
  <si>
    <t>Insurance representatives</t>
  </si>
  <si>
    <t>13-2053</t>
  </si>
  <si>
    <t>Insurance Underwriters</t>
  </si>
  <si>
    <t>39-5011</t>
  </si>
  <si>
    <t>Barbers										tiles</t>
  </si>
  <si>
    <t>47-5011</t>
  </si>
  <si>
    <t>Derrick operators, oil and gas</t>
  </si>
  <si>
    <t>41-3021</t>
  </si>
  <si>
    <t>Insurance Sales Agents</t>
  </si>
  <si>
    <t>35-2011</t>
  </si>
  <si>
    <t>Cooks, fast food</t>
  </si>
  <si>
    <t>3322</t>
  </si>
  <si>
    <t>Commercial sales representatives</t>
  </si>
  <si>
    <t>43-9022</t>
  </si>
  <si>
    <t>Word processors and typists</t>
  </si>
  <si>
    <t>41-3099</t>
  </si>
  <si>
    <t>Sales Representatives, Services, All Other</t>
  </si>
  <si>
    <t>Electrical and electronics drafters</t>
  </si>
  <si>
    <t>Electro-mechanical technicians</t>
  </si>
  <si>
    <t xml:space="preserve">3322 </t>
  </si>
  <si>
    <t>41-4012</t>
  </si>
  <si>
    <t>Sales Representatives, Wholesale and Manufacturing, Except Technical and Scientific Products</t>
  </si>
  <si>
    <t>51-9192</t>
  </si>
  <si>
    <t>Cleaning, washing, and metal pickling equipment operators and tenders</t>
  </si>
  <si>
    <t>3323</t>
  </si>
  <si>
    <t>Buyers</t>
  </si>
  <si>
    <t>13-1021</t>
  </si>
  <si>
    <t>Buyers and Purchasing Agents, Farm Products</t>
  </si>
  <si>
    <t>11-9141</t>
  </si>
  <si>
    <t>Property, real estate, and community association managers</t>
  </si>
  <si>
    <t>Wholesale and Retail Buyers, Except Farm Products</t>
  </si>
  <si>
    <t>43-6013</t>
  </si>
  <si>
    <t>Medical secretaries</t>
  </si>
  <si>
    <t>Purchasing Agents, Except Wholesale, Retail, and Farm Products</t>
  </si>
  <si>
    <t>51-6021</t>
  </si>
  <si>
    <t>Pressers, textile, garment, and related materials</t>
  </si>
  <si>
    <t>3324</t>
  </si>
  <si>
    <t>Trade brokers</t>
  </si>
  <si>
    <t>51-2031</t>
  </si>
  <si>
    <t>Engine and other machine assemblers</t>
  </si>
  <si>
    <t>49-2098</t>
  </si>
  <si>
    <t>Security and fire alarm systems installers</t>
  </si>
  <si>
    <t>43-5011</t>
  </si>
  <si>
    <t>Cargo and Freight Agents</t>
  </si>
  <si>
    <t>49-9045</t>
  </si>
  <si>
    <t>Refractory materials repairers, except brickmasons</t>
  </si>
  <si>
    <t>3331</t>
  </si>
  <si>
    <t>Clearing and forwarding agents</t>
  </si>
  <si>
    <t>39-2021</t>
  </si>
  <si>
    <t>Nonfarm animal caretakers</t>
  </si>
  <si>
    <t>43-5071</t>
  </si>
  <si>
    <t>Shipping, Receiving, and Traffic Clerks</t>
  </si>
  <si>
    <t>47-2211</t>
  </si>
  <si>
    <t>Sheet metal workers</t>
  </si>
  <si>
    <t>3332</t>
  </si>
  <si>
    <t>Conference and event planners</t>
  </si>
  <si>
    <t>Meeting, Convention, and Event Planners</t>
  </si>
  <si>
    <t>47-2072</t>
  </si>
  <si>
    <t>Pile-driver operators</t>
  </si>
  <si>
    <t>3333</t>
  </si>
  <si>
    <t>Employment agents and contractors</t>
  </si>
  <si>
    <t>47-2021</t>
  </si>
  <si>
    <t>Brickmasons and blockmasons</t>
  </si>
  <si>
    <t>13-1074</t>
  </si>
  <si>
    <t>Farm Labor Contractors</t>
  </si>
  <si>
    <t>45-3011</t>
  </si>
  <si>
    <t>Fishers and related fishing workers</t>
  </si>
  <si>
    <t>3334</t>
  </si>
  <si>
    <t>Real estate agents and property managers</t>
  </si>
  <si>
    <t>Property, Real Estate, and Community Association Managers</t>
  </si>
  <si>
    <t>47-2221</t>
  </si>
  <si>
    <t>Structural iron and steel workers</t>
  </si>
  <si>
    <t>53-4021</t>
  </si>
  <si>
    <t>Railroad brake, signal, and switch operators</t>
  </si>
  <si>
    <t>41-9021</t>
  </si>
  <si>
    <t>Real Estate Brokers</t>
  </si>
  <si>
    <t>53-4031</t>
  </si>
  <si>
    <t>Railroad conductors and yardmasters</t>
  </si>
  <si>
    <t>41-9022</t>
  </si>
  <si>
    <t>Real Estate Sales Agents</t>
  </si>
  <si>
    <t>35-2012</t>
  </si>
  <si>
    <t>Cooks, institution and cafeteria</t>
  </si>
  <si>
    <t>3339</t>
  </si>
  <si>
    <t>Business services agents not elsewhere classified</t>
  </si>
  <si>
    <t>Agents and Business Managers of Artists, Performers, and Athletes</t>
  </si>
  <si>
    <t>53-5011</t>
  </si>
  <si>
    <t>Sailors and marine oilers</t>
  </si>
  <si>
    <t>Cost Estimators</t>
  </si>
  <si>
    <t>51-9023</t>
  </si>
  <si>
    <t>Mixing and blending machine setters, operators, and tenders</t>
  </si>
  <si>
    <t>47-3011</t>
  </si>
  <si>
    <t>Helpers–brickmasons, blockmasons, stonemasons, and tile and marble setters</t>
  </si>
  <si>
    <t>Financial Specialists, All Other</t>
  </si>
  <si>
    <t>47-4091</t>
  </si>
  <si>
    <t>Segmental pavers</t>
  </si>
  <si>
    <t>47-2131</t>
  </si>
  <si>
    <t>Insulation workers, floor, ceiling, and wall</t>
  </si>
  <si>
    <t>Advertising Sales Agents</t>
  </si>
  <si>
    <t>51-5112</t>
  </si>
  <si>
    <t>Printing press operators</t>
  </si>
  <si>
    <t>Travel Agents</t>
  </si>
  <si>
    <t>53-6031</t>
  </si>
  <si>
    <t>Automotive and watercraft service attendants</t>
  </si>
  <si>
    <t>41-9099</t>
  </si>
  <si>
    <t>Sales and Related Workers, All Other</t>
  </si>
  <si>
    <t>47-4071</t>
  </si>
  <si>
    <t>Septic tank servicers and sewer pipe cleaners</t>
  </si>
  <si>
    <t>3341</t>
  </si>
  <si>
    <t>Office supervisors</t>
  </si>
  <si>
    <t>First-Line Supervisors of Office and Administrative Support Workers</t>
  </si>
  <si>
    <t>39-6011</t>
  </si>
  <si>
    <t>Baggage porters and bellhops</t>
  </si>
  <si>
    <t>3342</t>
  </si>
  <si>
    <t>Legal secretaries</t>
  </si>
  <si>
    <t>43-6012</t>
  </si>
  <si>
    <t>Legal Secretaries</t>
  </si>
  <si>
    <t>41-2012</t>
  </si>
  <si>
    <t>Gaming change persons and booth cashiers</t>
  </si>
  <si>
    <t>3343</t>
  </si>
  <si>
    <t>Administrative and executive secretaries</t>
  </si>
  <si>
    <t>Court Reporters</t>
  </si>
  <si>
    <t>51-4023</t>
  </si>
  <si>
    <t>Rolling machine setters, operators, and tenders, metal and plastic</t>
  </si>
  <si>
    <t>43-6011</t>
  </si>
  <si>
    <t>Executive Secretaries and Executive Administrative Assistants</t>
  </si>
  <si>
    <t>47-2071</t>
  </si>
  <si>
    <t>Paving, surfacing, and tamping equipment operators</t>
  </si>
  <si>
    <t>3344</t>
  </si>
  <si>
    <t>31-9094</t>
  </si>
  <si>
    <t>Medical Transcriptionists</t>
  </si>
  <si>
    <t>51-4111</t>
  </si>
  <si>
    <t>Tool and die makers</t>
  </si>
  <si>
    <t>Medical Secretaries</t>
  </si>
  <si>
    <t>Electrical and electronics engineering technicians</t>
  </si>
  <si>
    <t>3351</t>
  </si>
  <si>
    <t>Customs and border inspectors</t>
  </si>
  <si>
    <t>Compliance Officers</t>
  </si>
  <si>
    <t>47-2161</t>
  </si>
  <si>
    <t>Plasterers and stucco masons</t>
  </si>
  <si>
    <t>First-Line Supervisors of Police and Detectives</t>
  </si>
  <si>
    <t>51-4192</t>
  </si>
  <si>
    <t>Layout workers, metal and plastic</t>
  </si>
  <si>
    <t>Police and Sheriff's Patrol Officers</t>
  </si>
  <si>
    <t>51-4034</t>
  </si>
  <si>
    <t>Lathe and turning machine tool setters, operators, and tenders, metal and plastic</t>
  </si>
  <si>
    <t>3352</t>
  </si>
  <si>
    <t>Government tax and excise officials</t>
  </si>
  <si>
    <t>13-2081</t>
  </si>
  <si>
    <t>Tax Examiners and Collectors, and Revenue Agents</t>
  </si>
  <si>
    <t>33-9032</t>
  </si>
  <si>
    <t>Security guards</t>
  </si>
  <si>
    <t>3353</t>
  </si>
  <si>
    <t>Government social benefits officials</t>
  </si>
  <si>
    <t>51-6052</t>
  </si>
  <si>
    <t>Tailors, dressmakers, and custom sewers</t>
  </si>
  <si>
    <t>Eligibility Interviewers, Government Programs</t>
  </si>
  <si>
    <t>53-7073</t>
  </si>
  <si>
    <t>Wellhead pumpers</t>
  </si>
  <si>
    <t>3354</t>
  </si>
  <si>
    <t>Government licensing officials</t>
  </si>
  <si>
    <t>43-9081</t>
  </si>
  <si>
    <t>Proofreaders and copy markers</t>
  </si>
  <si>
    <t>Court, Municipal, and License Clerks</t>
  </si>
  <si>
    <t>33-3041</t>
  </si>
  <si>
    <t>Parking enforcement workers</t>
  </si>
  <si>
    <t>3355</t>
  </si>
  <si>
    <t>Police inspectors and detectives</t>
  </si>
  <si>
    <t>53-7062</t>
  </si>
  <si>
    <t>Labourers and freight, stock, and material movers, hand</t>
  </si>
  <si>
    <t>Detectives and Criminal Investigators</t>
  </si>
  <si>
    <t>Sales representatives, wholesale and manufacturing, except technical and scientific products</t>
  </si>
  <si>
    <t>3359</t>
  </si>
  <si>
    <t>Regulatory government associate professionals not elsewhere classified</t>
  </si>
  <si>
    <t>43-5041</t>
  </si>
  <si>
    <t>Meter readers, utilities</t>
  </si>
  <si>
    <t>3411</t>
  </si>
  <si>
    <t>Legal and related associate professionals</t>
  </si>
  <si>
    <t>Judicial Law Clerks</t>
  </si>
  <si>
    <t>Power plant operators</t>
  </si>
  <si>
    <t>23-2011</t>
  </si>
  <si>
    <t>Paralegals and Legal Assistants</t>
  </si>
  <si>
    <t>Chemical plant and system operators</t>
  </si>
  <si>
    <t>23-2093</t>
  </si>
  <si>
    <t>Title Examiners, Abstractors, and Searchers</t>
  </si>
  <si>
    <t>47-5021</t>
  </si>
  <si>
    <t>Earth drillers, except oil and gas</t>
  </si>
  <si>
    <t>23-2099</t>
  </si>
  <si>
    <t>Legal Support Workers, All Other</t>
  </si>
  <si>
    <t>Nuclear technicians</t>
  </si>
  <si>
    <t>Executive secretaries and executive administrative assistants</t>
  </si>
  <si>
    <t>Private Detectives and Investigators</t>
  </si>
  <si>
    <t>Plant and system operators, all other</t>
  </si>
  <si>
    <t>33-9031</t>
  </si>
  <si>
    <t>Gaming Surveillance Officers and Gaming Investigators</t>
  </si>
  <si>
    <t>35-3041</t>
  </si>
  <si>
    <t>Food servers, nonrestaurant</t>
  </si>
  <si>
    <t>3412</t>
  </si>
  <si>
    <t>Social work associate professionals</t>
  </si>
  <si>
    <t>Social and Human Service Assistants</t>
  </si>
  <si>
    <t>51-7041</t>
  </si>
  <si>
    <t>Sawing machine setters, operators, and tenders, wood</t>
  </si>
  <si>
    <t>3413</t>
  </si>
  <si>
    <t>Religious associate professionals</t>
  </si>
  <si>
    <t>21-2099</t>
  </si>
  <si>
    <t>Religious Workers, All Other</t>
  </si>
  <si>
    <t>53-4041</t>
  </si>
  <si>
    <t>Subway and streetcar operators</t>
  </si>
  <si>
    <t>3421</t>
  </si>
  <si>
    <t>Athletes and sports players</t>
  </si>
  <si>
    <t>Athletes and Sports Competitors</t>
  </si>
  <si>
    <t>Veterinary assistants and laboratory animal caretakers</t>
  </si>
  <si>
    <t>3422</t>
  </si>
  <si>
    <t>Sports coaches, instructors and officials</t>
  </si>
  <si>
    <t>51-9032</t>
  </si>
  <si>
    <t>Cutting and slicing machine setters, operators, and tenders</t>
  </si>
  <si>
    <t>Coaches and Scouts</t>
  </si>
  <si>
    <t>Real estate sales agents</t>
  </si>
  <si>
    <t>27-2023</t>
  </si>
  <si>
    <t>Umpires, Referees, and Other Sports Officials</t>
  </si>
  <si>
    <t>51-4011</t>
  </si>
  <si>
    <t>Computer-controlled machine tool operators, metal and plastic</t>
  </si>
  <si>
    <t>3423</t>
  </si>
  <si>
    <t>Fitness and recreation instructors and program leaders</t>
  </si>
  <si>
    <t>49-9043</t>
  </si>
  <si>
    <t>Maintenance workers, machinery</t>
  </si>
  <si>
    <t>Athletic Trainers</t>
  </si>
  <si>
    <t>43-4021</t>
  </si>
  <si>
    <t>Correspondence clerks</t>
  </si>
  <si>
    <t>First-Line Supervisors of Personal Service Workers</t>
  </si>
  <si>
    <t>45-2090</t>
  </si>
  <si>
    <t>Miscellaneous agricultural workers</t>
  </si>
  <si>
    <t>Fitness Trainers and Aerobics Instructors</t>
  </si>
  <si>
    <t>45-4011</t>
  </si>
  <si>
    <t>Forest and conservation workers</t>
  </si>
  <si>
    <t>3431</t>
  </si>
  <si>
    <t>51-4052</t>
  </si>
  <si>
    <t>Pourers and casters, metal</t>
  </si>
  <si>
    <t>3432</t>
  </si>
  <si>
    <t>Interior designers and decorators</t>
  </si>
  <si>
    <t>Interior Designers</t>
  </si>
  <si>
    <t>47-2041</t>
  </si>
  <si>
    <t>Carpet Installers</t>
  </si>
  <si>
    <t>Merchandise Displayers and Window Trimmers</t>
  </si>
  <si>
    <t>47-2142</t>
  </si>
  <si>
    <t>Paperhangers</t>
  </si>
  <si>
    <t>Set and Exhibit Designers</t>
  </si>
  <si>
    <t>Buyers and purchasing agents, farm products</t>
  </si>
  <si>
    <t>3433</t>
  </si>
  <si>
    <t>Gallery, museum and library technicians</t>
  </si>
  <si>
    <t>Museum Technicians and Conservators</t>
  </si>
  <si>
    <t>51-7021</t>
  </si>
  <si>
    <t>Furniture Finishers</t>
  </si>
  <si>
    <t>25-4031</t>
  </si>
  <si>
    <t>Library Technicians</t>
  </si>
  <si>
    <t>35-2021</t>
  </si>
  <si>
    <t>Food preparation workers</t>
  </si>
  <si>
    <t>47-2043</t>
  </si>
  <si>
    <t>Floor sanders and finishers</t>
  </si>
  <si>
    <t>3434</t>
  </si>
  <si>
    <t>Chefs</t>
  </si>
  <si>
    <t>Chefs and Head Cooks</t>
  </si>
  <si>
    <t>53-6021</t>
  </si>
  <si>
    <t>Parking lot attendants</t>
  </si>
  <si>
    <t>First-Line Supervisors of Food Preparation and Serving Workers</t>
  </si>
  <si>
    <t>47-4051</t>
  </si>
  <si>
    <t>Highway maintenance workers</t>
  </si>
  <si>
    <t>3435</t>
  </si>
  <si>
    <t>Other artistic and cultural associate professionals</t>
  </si>
  <si>
    <t>27-1019</t>
  </si>
  <si>
    <t>Artists and Related Workers, All Other</t>
  </si>
  <si>
    <t>47-2061</t>
  </si>
  <si>
    <t>Construction labourers</t>
  </si>
  <si>
    <t>43-5061</t>
  </si>
  <si>
    <t>Production, planning, and expediting clerks</t>
  </si>
  <si>
    <t>27-3099</t>
  </si>
  <si>
    <t>Media and Communication Workers, All Other</t>
  </si>
  <si>
    <t>51-9141</t>
  </si>
  <si>
    <t>Semiconductor Processors</t>
  </si>
  <si>
    <t>27-4099</t>
  </si>
  <si>
    <t>Media and Communication Equipment Workers, All Other</t>
  </si>
  <si>
    <t>Cartographers and photogrammetrists</t>
  </si>
  <si>
    <t>Costume Attendants</t>
  </si>
  <si>
    <t>Metal-refining furnace operators and tenders</t>
  </si>
  <si>
    <t>39-3099</t>
  </si>
  <si>
    <t>Entertainment Attendants and Related Workers, All Other</t>
  </si>
  <si>
    <t>51-9012</t>
  </si>
  <si>
    <t>Separating, filtering, clarifying, precipitating, and still machine setters, operators, and tenders</t>
  </si>
  <si>
    <t>3511</t>
  </si>
  <si>
    <t>Information and communications technology operations technicians</t>
  </si>
  <si>
    <t>Computer Operators</t>
  </si>
  <si>
    <t>51-6091</t>
  </si>
  <si>
    <t>Extruding and forming machine setters, operators, and tenders, synthetic and glass fibers</t>
  </si>
  <si>
    <t>3512</t>
  </si>
  <si>
    <t>Information and communications technology user support technicians</t>
  </si>
  <si>
    <t>15-1151</t>
  </si>
  <si>
    <t>Computer User Support Specialists</t>
  </si>
  <si>
    <t>47-2053</t>
  </si>
  <si>
    <t>Terrazzo workers and finishers</t>
  </si>
  <si>
    <t>3513</t>
  </si>
  <si>
    <t>Computer network and systems technicians</t>
  </si>
  <si>
    <t>15-1152</t>
  </si>
  <si>
    <t>Computer Network Support Specialists</t>
  </si>
  <si>
    <t>51-4194</t>
  </si>
  <si>
    <t>Tool grinders, filers, and sharpeners</t>
  </si>
  <si>
    <t>3514</t>
  </si>
  <si>
    <t>Web technicians</t>
  </si>
  <si>
    <t>49-3043</t>
  </si>
  <si>
    <t>Rail car repairers</t>
  </si>
  <si>
    <t>51-3011</t>
  </si>
  <si>
    <t>Bakers</t>
  </si>
  <si>
    <t>3521</t>
  </si>
  <si>
    <t>Broadcasting and audio-visual technicians</t>
  </si>
  <si>
    <t>Audio and Video Equipment Technicians</t>
  </si>
  <si>
    <t>Medical transcriptionists</t>
  </si>
  <si>
    <t>Broadcast Technicians</t>
  </si>
  <si>
    <t>47-2022</t>
  </si>
  <si>
    <t>Stonemasons</t>
  </si>
  <si>
    <t>27-4013</t>
  </si>
  <si>
    <t>Radio Operators</t>
  </si>
  <si>
    <t>53-3022</t>
  </si>
  <si>
    <t>Bus drivers, school or special client</t>
  </si>
  <si>
    <t>Sound Engineering Technicians</t>
  </si>
  <si>
    <t>Technical writers</t>
  </si>
  <si>
    <t>Camera Operators, Television, Video, and Motion Picture</t>
  </si>
  <si>
    <t>49-9096</t>
  </si>
  <si>
    <t>Riggers</t>
  </si>
  <si>
    <t>47-4061</t>
  </si>
  <si>
    <t>Rail-track laying and maintenance equipment operators</t>
  </si>
  <si>
    <t>3522</t>
  </si>
  <si>
    <t>Telecommunications engineering technicians</t>
  </si>
  <si>
    <t>51-8021</t>
  </si>
  <si>
    <t>Stationary engineers and boiler operators</t>
  </si>
  <si>
    <t>4110</t>
  </si>
  <si>
    <t>General office clerks</t>
  </si>
  <si>
    <t>43-3061</t>
  </si>
  <si>
    <t>Procurement Clerks</t>
  </si>
  <si>
    <t>51-6031</t>
  </si>
  <si>
    <t>Sewing machine operators</t>
  </si>
  <si>
    <t>43-9061</t>
  </si>
  <si>
    <t>Office Clerks, General</t>
  </si>
  <si>
    <t>53-3041</t>
  </si>
  <si>
    <t>Taxi drivers and chauffeurs</t>
  </si>
  <si>
    <t>4120</t>
  </si>
  <si>
    <t>Secretaries (general)</t>
  </si>
  <si>
    <t>43-6014</t>
  </si>
  <si>
    <t>Secretaries and Administrative Assistants, Except Legal, Medical, and Executive</t>
  </si>
  <si>
    <t>43-4161</t>
  </si>
  <si>
    <t>Human resources assistants, except payroll and timekeeping</t>
  </si>
  <si>
    <t>4131</t>
  </si>
  <si>
    <t>Typists and word processing operators</t>
  </si>
  <si>
    <t>Word Processors and Typists</t>
  </si>
  <si>
    <t>Medical and clinical laboratory technologists										time</t>
  </si>
  <si>
    <t>4132</t>
  </si>
  <si>
    <t>Data entry clerks</t>
  </si>
  <si>
    <t>43-9021</t>
  </si>
  <si>
    <t>Data Entry Keyers</t>
  </si>
  <si>
    <t>47-2171</t>
  </si>
  <si>
    <t>Reinforcing iron and rebar workers</t>
  </si>
  <si>
    <t>4211</t>
  </si>
  <si>
    <t>Bank tellers and related clerks</t>
  </si>
  <si>
    <t>43-3071</t>
  </si>
  <si>
    <t>Tellers</t>
  </si>
  <si>
    <t>47-2181</t>
  </si>
  <si>
    <t>Roofers</t>
  </si>
  <si>
    <t>43-5051</t>
  </si>
  <si>
    <t>Postal Service Clerks</t>
  </si>
  <si>
    <t>53-7021</t>
  </si>
  <si>
    <t>Crane and tower operators</t>
  </si>
  <si>
    <t>4212</t>
  </si>
  <si>
    <t>Bookmakers, croupiers and related gaming workers</t>
  </si>
  <si>
    <t>Gaming Supervisors</t>
  </si>
  <si>
    <t>Traffic technicians</t>
  </si>
  <si>
    <t>Slot Supervisors</t>
  </si>
  <si>
    <t>Transportation inspectors</t>
  </si>
  <si>
    <t>39-3011</t>
  </si>
  <si>
    <t>Gaming Dealers</t>
  </si>
  <si>
    <t>51-4062</t>
  </si>
  <si>
    <t>Patternmakers, metal and plastic</t>
  </si>
  <si>
    <t>39-3012</t>
  </si>
  <si>
    <t>Gaming and Sports Book Writers and Runners</t>
  </si>
  <si>
    <t>51-9195</t>
  </si>
  <si>
    <t>Molders, shapers, and casters, except metal and plastic</t>
  </si>
  <si>
    <t>39-3019</t>
  </si>
  <si>
    <t>Gaming Service Workers, All Other</t>
  </si>
  <si>
    <t>Appraisers and assessors of real estate										plast</t>
  </si>
  <si>
    <t>Gaming Cage Workers</t>
  </si>
  <si>
    <t>Pump operators, except wellhead pumpers</t>
  </si>
  <si>
    <t>4213</t>
  </si>
  <si>
    <t>Pawnbrokers and money-lenders</t>
  </si>
  <si>
    <t>49-9097</t>
  </si>
  <si>
    <t>Signal and track switch repairers</t>
  </si>
  <si>
    <t>43-3099</t>
  </si>
  <si>
    <t>Financial Clerks, All Other</t>
  </si>
  <si>
    <t>Gaming and sports book writers and runners</t>
  </si>
  <si>
    <t>4214</t>
  </si>
  <si>
    <t>Debt-collectors and related workers</t>
  </si>
  <si>
    <t>13-1131</t>
  </si>
  <si>
    <t>Fundraisers</t>
  </si>
  <si>
    <t>49-9063</t>
  </si>
  <si>
    <t>Musical instrument repairers and tuners</t>
  </si>
  <si>
    <t>43-3011</t>
  </si>
  <si>
    <t>Bill and Account Collectors</t>
  </si>
  <si>
    <t>39-7011</t>
  </si>
  <si>
    <t>Tour guides and escorts</t>
  </si>
  <si>
    <t>4221</t>
  </si>
  <si>
    <t>Travel consultants and clerks</t>
  </si>
  <si>
    <t>49-9011</t>
  </si>
  <si>
    <t>Mechanical door repairers</t>
  </si>
  <si>
    <t>51-3091</t>
  </si>
  <si>
    <t>Food and tobacco roasting, baking, and drying machine operators and tenders</t>
  </si>
  <si>
    <t>Reservation and Transportation Ticket Agents and Travel Clerks</t>
  </si>
  <si>
    <t>Gas compressor and gas pumping station operators										machin</t>
  </si>
  <si>
    <t>4222</t>
  </si>
  <si>
    <t>Contact centre information clerks</t>
  </si>
  <si>
    <t>Customer Service Representatives</t>
  </si>
  <si>
    <t>43-4171</t>
  </si>
  <si>
    <t>Receptionists and Information Clerks</t>
  </si>
  <si>
    <t>51-9121</t>
  </si>
  <si>
    <t>Coating, painting, and spraying machine setters, operators, and tenders</t>
  </si>
  <si>
    <t>4223</t>
  </si>
  <si>
    <t>Telephone switchboard operators</t>
  </si>
  <si>
    <t>43-2011</t>
  </si>
  <si>
    <t>Switchboard Operators, Including Answering Service</t>
  </si>
  <si>
    <t>51-4081</t>
  </si>
  <si>
    <t>Multiple machine tool setters, operators, and tenders, metal and plastic</t>
  </si>
  <si>
    <t>43-2021</t>
  </si>
  <si>
    <t>Telephone Operators</t>
  </si>
  <si>
    <t>53-4013</t>
  </si>
  <si>
    <t>Rail yard engineers, dinkey operators, and hostlers</t>
  </si>
  <si>
    <t>4224</t>
  </si>
  <si>
    <t>Hotel receptionists</t>
  </si>
  <si>
    <t>49-2093</t>
  </si>
  <si>
    <t>Electrical and electronics installers and repairers, transportation equipment</t>
  </si>
  <si>
    <t>43-4081</t>
  </si>
  <si>
    <t>Hotel, Motel, and Resort Desk Clerks</t>
  </si>
  <si>
    <t>35-9011</t>
  </si>
  <si>
    <t>Dining room and cafeteria attendants and bartender helpers</t>
  </si>
  <si>
    <t>4225</t>
  </si>
  <si>
    <t>Enquiry clerks</t>
  </si>
  <si>
    <t>Correspondence Clerks</t>
  </si>
  <si>
    <t>51-4191</t>
  </si>
  <si>
    <t>Heat treating equipment setters, operators, and tenders, metal and plastic</t>
  </si>
  <si>
    <t>Geological and petroleum technicians</t>
  </si>
  <si>
    <t>4226</t>
  </si>
  <si>
    <t>Receptionists (general)</t>
  </si>
  <si>
    <t>49-3021</t>
  </si>
  <si>
    <t>Automotive body and related repairers</t>
  </si>
  <si>
    <t>4227</t>
  </si>
  <si>
    <t>Survey and market research interviewers</t>
  </si>
  <si>
    <t>43-4111</t>
  </si>
  <si>
    <t>Interviewers, Except Eligibility and Loan</t>
  </si>
  <si>
    <t>51-7032</t>
  </si>
  <si>
    <t>Patternmakers, wood</t>
  </si>
  <si>
    <t>4229</t>
  </si>
  <si>
    <t>Client information workers not elsewhere classified</t>
  </si>
  <si>
    <t>43-2099</t>
  </si>
  <si>
    <t>Communications Equipment Operators, All Other</t>
  </si>
  <si>
    <t>51-4021</t>
  </si>
  <si>
    <t>Extruding and drawing machine setters, operators, and tenders, metal and plastic</t>
  </si>
  <si>
    <t>43-9071</t>
  </si>
  <si>
    <t>Office machine operators, except computer</t>
  </si>
  <si>
    <t>43-4199</t>
  </si>
  <si>
    <t>Information and Record Clerks, All Other</t>
  </si>
  <si>
    <t>Pharmacy technicians</t>
  </si>
  <si>
    <t>4311</t>
  </si>
  <si>
    <t>Accounting and bookkeeping clerks</t>
  </si>
  <si>
    <t>43-3021</t>
  </si>
  <si>
    <t>Billing and Posting Clerks</t>
  </si>
  <si>
    <t>43-4131</t>
  </si>
  <si>
    <t>Loan interviewers and clerks</t>
  </si>
  <si>
    <t>53-7031</t>
  </si>
  <si>
    <t>Dredge operators</t>
  </si>
  <si>
    <t>4312</t>
  </si>
  <si>
    <t>Statistical, finance and insurance clerks</t>
  </si>
  <si>
    <t>Insurance sales agents</t>
  </si>
  <si>
    <t>43-4011</t>
  </si>
  <si>
    <t>Brokerage Clerks</t>
  </si>
  <si>
    <t>51-7011</t>
  </si>
  <si>
    <t>Cabinetmakers and bench carpenters</t>
  </si>
  <si>
    <t>43-4041</t>
  </si>
  <si>
    <t>Credit Authorizers, Checkers, and Clerks</t>
  </si>
  <si>
    <t>51-9123</t>
  </si>
  <si>
    <t>Painting, coating, and decorating workers</t>
  </si>
  <si>
    <t>Loan Interviewers and Clerks</t>
  </si>
  <si>
    <t>47-4031</t>
  </si>
  <si>
    <t>Fence erectors</t>
  </si>
  <si>
    <t>43-4141</t>
  </si>
  <si>
    <t>New Accounts Clerks</t>
  </si>
  <si>
    <t>51-4193</t>
  </si>
  <si>
    <t>Plating and coating machine setters, operators, and tenders, metal and plastic</t>
  </si>
  <si>
    <t>43-9041</t>
  </si>
  <si>
    <t>Insurance Claims and Policy Processing Clerks</t>
  </si>
  <si>
    <t>41-2031</t>
  </si>
  <si>
    <t>Retail salespersons</t>
  </si>
  <si>
    <t>4313</t>
  </si>
  <si>
    <t>Payroll clerks</t>
  </si>
  <si>
    <t>43-3051</t>
  </si>
  <si>
    <t>Payroll and Timekeeping Clerks</t>
  </si>
  <si>
    <t>35-3021</t>
  </si>
  <si>
    <t>Combined food preparation and serving workers, including fast food</t>
  </si>
  <si>
    <t>4321</t>
  </si>
  <si>
    <t>Stock clerks</t>
  </si>
  <si>
    <t>51-9399</t>
  </si>
  <si>
    <t>Production workers, all other</t>
  </si>
  <si>
    <t>Stock Clerks and Order Fillers</t>
  </si>
  <si>
    <t>47-3012</t>
  </si>
  <si>
    <t>Helpers–carpenters</t>
  </si>
  <si>
    <t>43-5111</t>
  </si>
  <si>
    <t>Weighers, Measurers, Checkers, and Samplers, Recordkeeping</t>
  </si>
  <si>
    <t>51-9193</t>
  </si>
  <si>
    <t>Cooling and freezing equipment operators and tenders</t>
  </si>
  <si>
    <t>4322</t>
  </si>
  <si>
    <t>Production clerks</t>
  </si>
  <si>
    <t>Production, Planning, and Expediting Clerks</t>
  </si>
  <si>
    <t>51-2091</t>
  </si>
  <si>
    <t>Fiberglass laminators and fabricators</t>
  </si>
  <si>
    <t>4323</t>
  </si>
  <si>
    <t>Transport clerks</t>
  </si>
  <si>
    <t>43-5032</t>
  </si>
  <si>
    <t>Dispatchers, Except Police, Fire, and Ambulance</t>
  </si>
  <si>
    <t>47-5013</t>
  </si>
  <si>
    <t>Service unit operators, oil, gas, and mining</t>
  </si>
  <si>
    <t>4411</t>
  </si>
  <si>
    <t>Library clerks</t>
  </si>
  <si>
    <t>53-7011</t>
  </si>
  <si>
    <t>Conveyor operators and tenders</t>
  </si>
  <si>
    <t>43-4121</t>
  </si>
  <si>
    <t>Library Assistants, Clerical</t>
  </si>
  <si>
    <t>49-3053</t>
  </si>
  <si>
    <t>Outdoor power equipment and other small engine mechanics</t>
  </si>
  <si>
    <t>4412</t>
  </si>
  <si>
    <t>Mail carriers and sorting clerks</t>
  </si>
  <si>
    <t>43-5021</t>
  </si>
  <si>
    <t>Couriers and Messengers</t>
  </si>
  <si>
    <t>53-4012</t>
  </si>
  <si>
    <t>Locomotive firers										mecha</t>
  </si>
  <si>
    <t>53-7063</t>
  </si>
  <si>
    <t>Machine feeders and offbearers</t>
  </si>
  <si>
    <t>Postal Service Mail Carriers</t>
  </si>
  <si>
    <t>51-4061</t>
  </si>
  <si>
    <t>Model makers, metal and plastic</t>
  </si>
  <si>
    <t>Postal Service Mail Sorters, Processors, and Processing Machine Operators</t>
  </si>
  <si>
    <t>49-2021</t>
  </si>
  <si>
    <t>Radio, cellular, and tower equipment installers and repairs</t>
  </si>
  <si>
    <t>43-9051</t>
  </si>
  <si>
    <t>Mail Clerks and Mail Machine Operators, Except Postal Service</t>
  </si>
  <si>
    <t>51-3021</t>
  </si>
  <si>
    <t>Butchers and meat cutters</t>
  </si>
  <si>
    <t>4413</t>
  </si>
  <si>
    <t>Coding, proof-reading and related clerks</t>
  </si>
  <si>
    <t>Proofreaders and Copy Markers</t>
  </si>
  <si>
    <t>51-9041</t>
  </si>
  <si>
    <t>Extruding, forming, pressing, and compacting machine setters, operators, and tenders</t>
  </si>
  <si>
    <t>4414</t>
  </si>
  <si>
    <t>Scribes and related workers</t>
  </si>
  <si>
    <t>53-7081</t>
  </si>
  <si>
    <t>Refuse and recyclable material collectors</t>
  </si>
  <si>
    <t>Personal Care Aides</t>
  </si>
  <si>
    <t>Tax examiners and collectors, and revenue agents</t>
  </si>
  <si>
    <t>4415</t>
  </si>
  <si>
    <t>Filing and copying clerks</t>
  </si>
  <si>
    <t>43-4071</t>
  </si>
  <si>
    <t>File Clerks</t>
  </si>
  <si>
    <t>51-4022</t>
  </si>
  <si>
    <t>Forging machine setters, operators, and tenders, Metal and Plastic										agents</t>
  </si>
  <si>
    <t>Office Machine Operators, Except Computer</t>
  </si>
  <si>
    <t>53-7051</t>
  </si>
  <si>
    <t>Industrial truck and tractor operators</t>
  </si>
  <si>
    <t>4416</t>
  </si>
  <si>
    <t>Personnel clerks</t>
  </si>
  <si>
    <t>Human Resources Assistants, Except Payroll and Timekeeping</t>
  </si>
  <si>
    <t>Accountants and auditors</t>
  </si>
  <si>
    <t>4419</t>
  </si>
  <si>
    <t>Clerical support workers not elsewhere classified</t>
  </si>
  <si>
    <t>51-4032</t>
  </si>
  <si>
    <t>Drilling and boring machine tool setters, operators, and tenders, metal and plastic</t>
  </si>
  <si>
    <t>43-4151</t>
  </si>
  <si>
    <t>Order Clerks</t>
  </si>
  <si>
    <t>Mail clerks and mail machine operators, except postal service</t>
  </si>
  <si>
    <t>35-3031</t>
  </si>
  <si>
    <t>Waiters and waitresses										posta</t>
  </si>
  <si>
    <t>43-9199</t>
  </si>
  <si>
    <t>Office and Administrative Support Workers, All Other</t>
  </si>
  <si>
    <t>51-3022</t>
  </si>
  <si>
    <t>Meat, poultry, and fish cutters and trimmers</t>
  </si>
  <si>
    <t>5111</t>
  </si>
  <si>
    <t>Travel attendants and travel stewards</t>
  </si>
  <si>
    <t>Budget analysts</t>
  </si>
  <si>
    <t>Flight Attendants</t>
  </si>
  <si>
    <t>47-2051</t>
  </si>
  <si>
    <t>Cement masons and concrete finishers</t>
  </si>
  <si>
    <t xml:space="preserve">Transportation Attendants, Except Flight Attendants </t>
  </si>
  <si>
    <t>49-3091</t>
  </si>
  <si>
    <t>Bicycle repairers</t>
  </si>
  <si>
    <t>5112</t>
  </si>
  <si>
    <t>Transport conductors</t>
  </si>
  <si>
    <t>49-9091</t>
  </si>
  <si>
    <t>Coin, vending, and amusement machine servicers and repairers</t>
  </si>
  <si>
    <t>51-4121</t>
  </si>
  <si>
    <t>Welders, cutters, solderers, and brazers</t>
  </si>
  <si>
    <t>5113</t>
  </si>
  <si>
    <t>Couriers and messengers</t>
  </si>
  <si>
    <t>Tour Guides and Escorts</t>
  </si>
  <si>
    <t>Interviewers, except eligibility and loan</t>
  </si>
  <si>
    <t>Travel Guides</t>
  </si>
  <si>
    <t>35-2015</t>
  </si>
  <si>
    <t>Cooks, short order</t>
  </si>
  <si>
    <t>5120</t>
  </si>
  <si>
    <t>Cooks</t>
  </si>
  <si>
    <t>53-7032</t>
  </si>
  <si>
    <t>Excavating and loading machine and dragline operators</t>
  </si>
  <si>
    <t>Cooks, Institution and Cafeteria</t>
  </si>
  <si>
    <t>47-3014</t>
  </si>
  <si>
    <t>Helpers–painters, paperhangers, plasterers, and stucco masons</t>
  </si>
  <si>
    <t>Cooks, Private Household</t>
  </si>
  <si>
    <t>Hotel, motel, and resort desk clerks</t>
  </si>
  <si>
    <t>35-2014</t>
  </si>
  <si>
    <t>Cooks, Restaurant</t>
  </si>
  <si>
    <t>51-9197</t>
  </si>
  <si>
    <t>Tire builders</t>
  </si>
  <si>
    <t>Cooks, Short Order</t>
  </si>
  <si>
    <t>41-9091</t>
  </si>
  <si>
    <t>Door-to-door sales workers, news and street vendors, and related workers</t>
  </si>
  <si>
    <t>35-2019</t>
  </si>
  <si>
    <t>Cooks, All Other</t>
  </si>
  <si>
    <t>37-1011</t>
  </si>
  <si>
    <t>First-line Supervisors of housekeeping and janitorial workers</t>
  </si>
  <si>
    <t>5131</t>
  </si>
  <si>
    <t>Waiters</t>
  </si>
  <si>
    <t>Waiters and Waitresses</t>
  </si>
  <si>
    <t>Agricultural inspectors</t>
  </si>
  <si>
    <t>Food Servers, Nonrestaurant</t>
  </si>
  <si>
    <t>Paralegals and legal assistants</t>
  </si>
  <si>
    <t>5132</t>
  </si>
  <si>
    <t>39-5092</t>
  </si>
  <si>
    <t>Manicurists and pedicurists</t>
  </si>
  <si>
    <t>5141</t>
  </si>
  <si>
    <t>Hairdressers</t>
  </si>
  <si>
    <t>Weighers, measurers, checkers, and samplers, recordkeeping</t>
  </si>
  <si>
    <t>Barbers</t>
  </si>
  <si>
    <t>51-6062</t>
  </si>
  <si>
    <t>Textile cutting machine setters, operators, and tenders</t>
  </si>
  <si>
    <t>Hairdressers, Hairstylists, and Cosmetologists</t>
  </si>
  <si>
    <t>Bill and account collectors</t>
  </si>
  <si>
    <t>5142</t>
  </si>
  <si>
    <t>Beauticians and related workers</t>
  </si>
  <si>
    <t>Nuclear power reactor operators</t>
  </si>
  <si>
    <t>Gaming surveillance officers and gaming investigators</t>
  </si>
  <si>
    <t>Makeup Artists, Theatrical and Performance</t>
  </si>
  <si>
    <t>Library assistants, clerical</t>
  </si>
  <si>
    <t>Manicurists and Pedicurists</t>
  </si>
  <si>
    <t>47-2073</t>
  </si>
  <si>
    <t>Operating engineers and other construction equipment operators</t>
  </si>
  <si>
    <t>51-5113</t>
  </si>
  <si>
    <t>Print binding and finishing workers</t>
  </si>
  <si>
    <t>Skincare Specialists</t>
  </si>
  <si>
    <t>45-2021</t>
  </si>
  <si>
    <t>Animal breeders</t>
  </si>
  <si>
    <t>5151</t>
  </si>
  <si>
    <t>Cleaning and housekeeping supervisors in offices, hotels and other establishments</t>
  </si>
  <si>
    <t>First-Line Supervisors of Housekeeping and Janitorial Workers</t>
  </si>
  <si>
    <t>51-4072</t>
  </si>
  <si>
    <t>Molding, coremaking, and casting machine setters, operators, and tenders, metal and plastic</t>
  </si>
  <si>
    <t>5152</t>
  </si>
  <si>
    <t>Domestic housekeepers</t>
  </si>
  <si>
    <t>51-2022</t>
  </si>
  <si>
    <t>Electrical and electronic equipment assemblers</t>
  </si>
  <si>
    <t>39-9099</t>
  </si>
  <si>
    <t>Personal Care and Service Workers, All Other</t>
  </si>
  <si>
    <t>51-9191</t>
  </si>
  <si>
    <t>Adhesive bonding machine operators and tenders</t>
  </si>
  <si>
    <t>5153</t>
  </si>
  <si>
    <t>Building caretakers</t>
  </si>
  <si>
    <t>Janitors and Cleaners, Except Maids and Housekeeping Cleaners</t>
  </si>
  <si>
    <t>37-3011</t>
  </si>
  <si>
    <t>Landscaping and groundskeeping workers</t>
  </si>
  <si>
    <t>5161</t>
  </si>
  <si>
    <t>Astrologers, fortune-tellers and related workers</t>
  </si>
  <si>
    <t>51-4033</t>
  </si>
  <si>
    <t>Grinding, lapping, polishing, and buffing machine tool setters, operators, and tenders, metal and plastic</t>
  </si>
  <si>
    <t>5162</t>
  </si>
  <si>
    <t>Companions and valets</t>
  </si>
  <si>
    <t>Postal service clerks</t>
  </si>
  <si>
    <t>51-9071</t>
  </si>
  <si>
    <t>Jewelers and precious stone and metal workers</t>
  </si>
  <si>
    <t>Dispatchers, except police, fire, and ambulance</t>
  </si>
  <si>
    <t>5163</t>
  </si>
  <si>
    <t>Undertakers and embalmers</t>
  </si>
  <si>
    <t>Receptionists and information clerks</t>
  </si>
  <si>
    <t>Funeral Attendants</t>
  </si>
  <si>
    <t>Office clerks, general</t>
  </si>
  <si>
    <t>39-4031</t>
  </si>
  <si>
    <t>Morticians, Undertakers and Funeral Directors</t>
  </si>
  <si>
    <t>Compensation and benefits managers</t>
  </si>
  <si>
    <t>5164</t>
  </si>
  <si>
    <t>Pet groomers and animal care workers</t>
  </si>
  <si>
    <t>Switchboard operators, including answering service</t>
  </si>
  <si>
    <t>35-3022</t>
  </si>
  <si>
    <t>Counter attendants, cafeteria, food concession, and Coffee Shop</t>
  </si>
  <si>
    <t>Animal Trainers</t>
  </si>
  <si>
    <t>47-5051</t>
  </si>
  <si>
    <t>Rock splitters, quarry</t>
  </si>
  <si>
    <t>Nonfarm Animal Caretakers</t>
  </si>
  <si>
    <t>Secretaries and administrative assistants, except legal, medical, and executive</t>
  </si>
  <si>
    <t>5165</t>
  </si>
  <si>
    <t>Driving instructors</t>
  </si>
  <si>
    <t>Surveying and mapping technicians</t>
  </si>
  <si>
    <t>5169</t>
  </si>
  <si>
    <t>Personal services workers not elsewhere classified</t>
  </si>
  <si>
    <t>35-9031</t>
  </si>
  <si>
    <t>Hosts and Hostesses, Restaurant, Lounge, and Coffee Shop</t>
  </si>
  <si>
    <t>51-7031</t>
  </si>
  <si>
    <t>Model makers, wood</t>
  </si>
  <si>
    <t>51-6064</t>
  </si>
  <si>
    <t>Textile winding, twisting, and drawing out machine setters, operators, and tenders</t>
  </si>
  <si>
    <t xml:space="preserve">5169 </t>
  </si>
  <si>
    <t>53-4011</t>
  </si>
  <si>
    <t>Locomotive engineers</t>
  </si>
  <si>
    <t>Recreation Workers</t>
  </si>
  <si>
    <t>Gaming dealers</t>
  </si>
  <si>
    <t>Residential Advisors</t>
  </si>
  <si>
    <t>49-9093</t>
  </si>
  <si>
    <t>Fabric menders, except garment</t>
  </si>
  <si>
    <t>5211</t>
  </si>
  <si>
    <t>Stall and market salespersons</t>
  </si>
  <si>
    <t>Door-to-Door Sales Workers, News and Street Vendors, and Related Workers</t>
  </si>
  <si>
    <t>Cooks, restaurant</t>
  </si>
  <si>
    <t>5212</t>
  </si>
  <si>
    <t>Street food salespersons</t>
  </si>
  <si>
    <t>39-3031</t>
  </si>
  <si>
    <t>Ushers, lobby attendants, and ticket takers</t>
  </si>
  <si>
    <t>Billing and posting clerks</t>
  </si>
  <si>
    <t>5221</t>
  </si>
  <si>
    <t>Shopkeepers</t>
  </si>
  <si>
    <t>53-6011</t>
  </si>
  <si>
    <t>Bridge and lock tenders</t>
  </si>
  <si>
    <t>5222</t>
  </si>
  <si>
    <t>Shop supervisors</t>
  </si>
  <si>
    <t>First-Line Supervisors of Retail Sales Workers</t>
  </si>
  <si>
    <t>51-7042</t>
  </si>
  <si>
    <t>Woodworking machine setters, operators, and tenders, except sawing</t>
  </si>
  <si>
    <t>5223</t>
  </si>
  <si>
    <t>Shop sales assistants</t>
  </si>
  <si>
    <t>41-2022</t>
  </si>
  <si>
    <t>Parts Salespersons</t>
  </si>
  <si>
    <t>51-2092</t>
  </si>
  <si>
    <t>Team assemblers</t>
  </si>
  <si>
    <t>Retail Salespersons</t>
  </si>
  <si>
    <t>51-6042</t>
  </si>
  <si>
    <t>Shoe machine operators and tenders</t>
  </si>
  <si>
    <t>5230</t>
  </si>
  <si>
    <t>Cashiers and ticket clerks</t>
  </si>
  <si>
    <t>41-2011</t>
  </si>
  <si>
    <t>Cashiers</t>
  </si>
  <si>
    <t>51-2023</t>
  </si>
  <si>
    <t>Electromechanical equipment assemblers</t>
  </si>
  <si>
    <t>Gaming Change Persons and Booth Cashiers</t>
  </si>
  <si>
    <t>Farm labour contractors</t>
  </si>
  <si>
    <t>5241</t>
  </si>
  <si>
    <t>Fashion and other models</t>
  </si>
  <si>
    <t>41-9012</t>
  </si>
  <si>
    <t>Models</t>
  </si>
  <si>
    <t>51-6061</t>
  </si>
  <si>
    <t>Textile bleaching and dyeing machine operators and tenders</t>
  </si>
  <si>
    <t>5242</t>
  </si>
  <si>
    <t>Sales demonstrators</t>
  </si>
  <si>
    <t>Demonstrators and Product Promoters</t>
  </si>
  <si>
    <t>Dental laboratory technicians</t>
  </si>
  <si>
    <t>5243</t>
  </si>
  <si>
    <t>Door to door salespersons</t>
  </si>
  <si>
    <t>51-9021</t>
  </si>
  <si>
    <t>Crushing, grinding, and polishing machine setters, operators, and tenders</t>
  </si>
  <si>
    <t>5244</t>
  </si>
  <si>
    <t>Contact centre salespersons</t>
  </si>
  <si>
    <t>41-9041</t>
  </si>
  <si>
    <t>Telemarketers</t>
  </si>
  <si>
    <t>51-9022</t>
  </si>
  <si>
    <t>Grinding and polishing workers, hand</t>
  </si>
  <si>
    <t>5245</t>
  </si>
  <si>
    <t>Service station attendants</t>
  </si>
  <si>
    <t>37-3012</t>
  </si>
  <si>
    <t>Pesticide handlers, sprayers, and applicators, vegetation</t>
  </si>
  <si>
    <t>Automotive and Watercraft Service Attendants</t>
  </si>
  <si>
    <t>45-4023</t>
  </si>
  <si>
    <t>Log graders and scalers</t>
  </si>
  <si>
    <t>5246</t>
  </si>
  <si>
    <t>Food service counter attendants</t>
  </si>
  <si>
    <t>Combined Food Preparation and Serving Workers, Including Fast Food</t>
  </si>
  <si>
    <t>51-9083</t>
  </si>
  <si>
    <t>Ophthalmic laboratory technicians</t>
  </si>
  <si>
    <t>Counter Attendants, Cafeteria, Food Concession, and Coffee Shop</t>
  </si>
  <si>
    <t>Dining Room and Cafeteria Attendants and Bartender Helpers</t>
  </si>
  <si>
    <t>49-9061</t>
  </si>
  <si>
    <t>Camera and photographic equipment repairers</t>
  </si>
  <si>
    <t>5249</t>
  </si>
  <si>
    <t>Sales workers not elsewhere classified</t>
  </si>
  <si>
    <t>41-2021</t>
  </si>
  <si>
    <t>Counter and Rental Clerks</t>
  </si>
  <si>
    <t>39-3021</t>
  </si>
  <si>
    <t>Motion picture projectionists</t>
  </si>
  <si>
    <t>51-5111</t>
  </si>
  <si>
    <t>Prepress technicians and workers</t>
  </si>
  <si>
    <t>5311</t>
  </si>
  <si>
    <t>Child care workers</t>
  </si>
  <si>
    <t>Counter and rental clerks</t>
  </si>
  <si>
    <t>Childcare Workers</t>
  </si>
  <si>
    <t>File clerks</t>
  </si>
  <si>
    <t>5312</t>
  </si>
  <si>
    <t>Teachers' aides</t>
  </si>
  <si>
    <t>Teacher Assistants</t>
  </si>
  <si>
    <t>Real estate brokers</t>
  </si>
  <si>
    <t>5321</t>
  </si>
  <si>
    <t>Health care assistants</t>
  </si>
  <si>
    <t>Psychiatric Aides</t>
  </si>
  <si>
    <t>Telephone operators</t>
  </si>
  <si>
    <t>31-1014</t>
  </si>
  <si>
    <t>Nursing Assistants</t>
  </si>
  <si>
    <t>Agricultural and food science technicians</t>
  </si>
  <si>
    <t>5322</t>
  </si>
  <si>
    <t>Home-based personal care workers</t>
  </si>
  <si>
    <t>Home Health Aides</t>
  </si>
  <si>
    <t>Payroll and timekeeping clerks</t>
  </si>
  <si>
    <t>Credit authorizers, checkers, and clerks</t>
  </si>
  <si>
    <t>Hosts and hostesses, restaurant, lounge, and coffee shop</t>
  </si>
  <si>
    <t>5329</t>
  </si>
  <si>
    <t>Personal care workers in health services not elsewhere classified</t>
  </si>
  <si>
    <t>31-1015</t>
  </si>
  <si>
    <t>Orderlies</t>
  </si>
  <si>
    <t>Occupational Therapy Aides</t>
  </si>
  <si>
    <t>51-9061</t>
  </si>
  <si>
    <t>Inspectors, testers, sorters, samplers, and weighers</t>
  </si>
  <si>
    <t>Physical Therapist Aides</t>
  </si>
  <si>
    <t>Bookkeeping, accounting, and auditing clerks</t>
  </si>
  <si>
    <t>Medical Equipment Preparers</t>
  </si>
  <si>
    <t>Radio operators</t>
  </si>
  <si>
    <t>Pharmacy Aides</t>
  </si>
  <si>
    <t>53-3031</t>
  </si>
  <si>
    <t>Driver/sales workers</t>
  </si>
  <si>
    <t>31-9097</t>
  </si>
  <si>
    <t>Phlebotomists</t>
  </si>
  <si>
    <t>Claims adjusters, examiners, and investigators</t>
  </si>
  <si>
    <t>Parts salespersons</t>
  </si>
  <si>
    <t>5411</t>
  </si>
  <si>
    <t>Fire-fighters</t>
  </si>
  <si>
    <t>Credit analysts</t>
  </si>
  <si>
    <t>51-4035</t>
  </si>
  <si>
    <t>Milling and planing machine setters, operators, and tenders, metal and plastic</t>
  </si>
  <si>
    <t>5412</t>
  </si>
  <si>
    <t>Police officers</t>
  </si>
  <si>
    <t>Shipping, receiving, and traffic clerks</t>
  </si>
  <si>
    <t>Procurement clerks</t>
  </si>
  <si>
    <t>Transit and Railroad Police</t>
  </si>
  <si>
    <t>51-9111</t>
  </si>
  <si>
    <t>Packaging and filling machine operators and tenders</t>
  </si>
  <si>
    <t>5413</t>
  </si>
  <si>
    <t>Prison guards</t>
  </si>
  <si>
    <t>First-Line Supervisors of Correctional Officers</t>
  </si>
  <si>
    <t>51-9194</t>
  </si>
  <si>
    <t>Etchers and engravers</t>
  </si>
  <si>
    <t>Correctional Officers and Jailers</t>
  </si>
  <si>
    <t>5414</t>
  </si>
  <si>
    <t>33-1099</t>
  </si>
  <si>
    <t>First-Line Supervisors of Protective Service Workers, All Other</t>
  </si>
  <si>
    <t>Umpires, referees, and other sports officials</t>
  </si>
  <si>
    <t>Insurance appraisers, auto damage</t>
  </si>
  <si>
    <t>Security Guards</t>
  </si>
  <si>
    <t>Loan officers</t>
  </si>
  <si>
    <t>33-9093</t>
  </si>
  <si>
    <t>Transportation Security Screeners</t>
  </si>
  <si>
    <t>Order clerks</t>
  </si>
  <si>
    <t>5419</t>
  </si>
  <si>
    <t>Protective services workers not elsewhere classified</t>
  </si>
  <si>
    <t>Brokerage clerks</t>
  </si>
  <si>
    <t>Fish and Game Wardens</t>
  </si>
  <si>
    <t>Insurance claims and policy processing clerks</t>
  </si>
  <si>
    <t>Parking Enforcement Workers</t>
  </si>
  <si>
    <t>51-2093</t>
  </si>
  <si>
    <t>Timing device assemblers and adjusters</t>
  </si>
  <si>
    <t>Animal Control Workers</t>
  </si>
  <si>
    <t>Data entry keyers</t>
  </si>
  <si>
    <t>Crossing Guards</t>
  </si>
  <si>
    <t>Library technicians</t>
  </si>
  <si>
    <t>Lifeguards, Ski Patrol, and Other Recreational Protective Service Workers</t>
  </si>
  <si>
    <t>New accounts clerks</t>
  </si>
  <si>
    <t>33-9099</t>
  </si>
  <si>
    <t>Protective Service Workers, All Other</t>
  </si>
  <si>
    <t>51-9151</t>
  </si>
  <si>
    <t>Photographic process workers and processing machine operators</t>
  </si>
  <si>
    <t>Police, Fire, and Ambulance Dispatchers</t>
  </si>
  <si>
    <t>Tax preparers</t>
  </si>
  <si>
    <t>6111</t>
  </si>
  <si>
    <t>Field crop and vegetable growers</t>
  </si>
  <si>
    <t>First-Line Supervisors of Farming, Fishing, and Forestry Workers</t>
  </si>
  <si>
    <t>Cargo and freight agents</t>
  </si>
  <si>
    <t>45-2091</t>
  </si>
  <si>
    <t>Agricultural Equipment Operators</t>
  </si>
  <si>
    <t>49-9064</t>
  </si>
  <si>
    <t>Watch repairers</t>
  </si>
  <si>
    <t>6112</t>
  </si>
  <si>
    <t>Tree and shrub crop growers</t>
  </si>
  <si>
    <t>Insurance underwriters</t>
  </si>
  <si>
    <t>Mathematical technicians</t>
  </si>
  <si>
    <t>6113</t>
  </si>
  <si>
    <t>Gardeners, horticultural and nursery growers</t>
  </si>
  <si>
    <t>First-line Supervisor of Landscaping, Lawn Service, and Groundskeeping Workers</t>
  </si>
  <si>
    <t>51-6051</t>
  </si>
  <si>
    <t>Sewers, hand</t>
  </si>
  <si>
    <t>Tree Trimmers and Pruners</t>
  </si>
  <si>
    <t>Title examiners, abstractors, and searchers</t>
  </si>
  <si>
    <t>6114</t>
  </si>
  <si>
    <t>Mixed crop growers</t>
  </si>
  <si>
    <t>6121</t>
  </si>
  <si>
    <t>Livestock and dairy producers</t>
  </si>
  <si>
    <t>Animal Breeders</t>
  </si>
  <si>
    <t>6122</t>
  </si>
  <si>
    <t>Poultry producers</t>
  </si>
  <si>
    <t>6123</t>
  </si>
  <si>
    <t>Apiarists and sericulturists</t>
  </si>
  <si>
    <t>6129</t>
  </si>
  <si>
    <t>Animal producers not elsewhere classified</t>
  </si>
  <si>
    <t>6130</t>
  </si>
  <si>
    <t>Mixed crop and animal producers</t>
  </si>
  <si>
    <t>6210</t>
  </si>
  <si>
    <t>Forestry and related workers</t>
  </si>
  <si>
    <t>Forest and Conservation Workers</t>
  </si>
  <si>
    <t>Logging Equipment Operators</t>
  </si>
  <si>
    <t>Log Graders and Scalers</t>
  </si>
  <si>
    <t>45-4029</t>
  </si>
  <si>
    <t>Logging Workers, All Other</t>
  </si>
  <si>
    <t>6221</t>
  </si>
  <si>
    <t>Aquaculture workers</t>
  </si>
  <si>
    <t>6222</t>
  </si>
  <si>
    <t>Inland and coastal waters fishery workers</t>
  </si>
  <si>
    <t>Fishers and Related Fishing Workers</t>
  </si>
  <si>
    <t>6223</t>
  </si>
  <si>
    <t>Deep-sea fishery workers</t>
  </si>
  <si>
    <t>6224</t>
  </si>
  <si>
    <t>Hunters and Trappers</t>
  </si>
  <si>
    <t>6310</t>
  </si>
  <si>
    <t>Subsistence crop farmers</t>
  </si>
  <si>
    <t>45-2092</t>
  </si>
  <si>
    <t>Farmworkers and Laborers, Crop, Nursery, and Greenhouse</t>
  </si>
  <si>
    <t>6320</t>
  </si>
  <si>
    <t>Subsistence livestock farmers</t>
  </si>
  <si>
    <t>45-2093</t>
  </si>
  <si>
    <t>Farmworkers, Farm, Ranch, and Aquacultural Animals</t>
  </si>
  <si>
    <t>6330</t>
  </si>
  <si>
    <t>Subsistence mixed crop and livestock farmers</t>
  </si>
  <si>
    <t>6340</t>
  </si>
  <si>
    <t>Subsistence fishers, hunters, trappers and gatherers</t>
  </si>
  <si>
    <t>7111</t>
  </si>
  <si>
    <t>House builders</t>
  </si>
  <si>
    <t>7112</t>
  </si>
  <si>
    <t>Bricklayers and related workers</t>
  </si>
  <si>
    <t>Brickmasons and Blockmasons</t>
  </si>
  <si>
    <t>Refractory Materials Repairers, Except Brickmasons</t>
  </si>
  <si>
    <t>7113</t>
  </si>
  <si>
    <t>Stonemasons, stone cutters, splitters and carvers</t>
  </si>
  <si>
    <t>Segmental Pavers</t>
  </si>
  <si>
    <t>7114</t>
  </si>
  <si>
    <t>Concrete placers, concrete finishers and related workers</t>
  </si>
  <si>
    <t>Cement Masons and Concrete Finishers</t>
  </si>
  <si>
    <t>Terrazzo Workers and Finishers</t>
  </si>
  <si>
    <t>7115</t>
  </si>
  <si>
    <t>Carpenters and joiners</t>
  </si>
  <si>
    <t>7119</t>
  </si>
  <si>
    <t>Building frame and related trades workers not elsewhere classified</t>
  </si>
  <si>
    <t>47-2231</t>
  </si>
  <si>
    <t>Solar Photovoltaic Installers</t>
  </si>
  <si>
    <t>Fence Erectors</t>
  </si>
  <si>
    <t>Hazardous Materials Removal Workers</t>
  </si>
  <si>
    <t>47-4099</t>
  </si>
  <si>
    <t>Construction and Related Workers, All Other</t>
  </si>
  <si>
    <t>Manufactured Building and Mobile Home Installers</t>
  </si>
  <si>
    <t>7121</t>
  </si>
  <si>
    <t>7122</t>
  </si>
  <si>
    <t>Floor layers and tile setters</t>
  </si>
  <si>
    <t>Floor Layers, Except Carpet, Wood, and Hard Tiles</t>
  </si>
  <si>
    <t>Floor Sanders and Finishers</t>
  </si>
  <si>
    <t>Tile and Marble Setters</t>
  </si>
  <si>
    <t>7123</t>
  </si>
  <si>
    <t>Plasterers</t>
  </si>
  <si>
    <t>Drywall and Ceiling Tile Installers</t>
  </si>
  <si>
    <t>Plasterers and Stucco Masons</t>
  </si>
  <si>
    <t>7124</t>
  </si>
  <si>
    <t>Insulation workers</t>
  </si>
  <si>
    <t>Insulation Workers, Floor, Ceiling, and Wall</t>
  </si>
  <si>
    <t>Insulation Workers, Mechanical</t>
  </si>
  <si>
    <t>7125</t>
  </si>
  <si>
    <t>7126</t>
  </si>
  <si>
    <t>Plumbers and pipe fitters</t>
  </si>
  <si>
    <t>Plumbers, Pipefitters, and Steamfitters</t>
  </si>
  <si>
    <t>7127</t>
  </si>
  <si>
    <t>Air conditioning and refrigeration mechanics</t>
  </si>
  <si>
    <t>First-Line Supervisors of Mechanics, Installers, and Repairers</t>
  </si>
  <si>
    <t>Heating, Air Conditioning, and Refrigeration Mechanics and Installers</t>
  </si>
  <si>
    <t>7131</t>
  </si>
  <si>
    <t>Painters and related workers</t>
  </si>
  <si>
    <t>Painters, Construction and Maintenance</t>
  </si>
  <si>
    <t>7132</t>
  </si>
  <si>
    <t>Spray painters and varnishers</t>
  </si>
  <si>
    <t>Coating, Painting, and Spraying Machine Setters, Operators, and Tenders</t>
  </si>
  <si>
    <t>Painters, Transportation Equipment</t>
  </si>
  <si>
    <t>7133</t>
  </si>
  <si>
    <t>Building structure cleaners</t>
  </si>
  <si>
    <t>37-2019</t>
  </si>
  <si>
    <t>Building Cleaning Workers, All Other</t>
  </si>
  <si>
    <t>7211</t>
  </si>
  <si>
    <t>Metal moulders and coremakers</t>
  </si>
  <si>
    <t>Foundry Mold and Coremakers</t>
  </si>
  <si>
    <t>Molding, Coremaking, and Casting Machine Setters, Operators, and Tenders, Metal and Plastic</t>
  </si>
  <si>
    <t>7212</t>
  </si>
  <si>
    <t>Welders and flamecutters</t>
  </si>
  <si>
    <t>Welders, Cutters, Solderers, and Brazers</t>
  </si>
  <si>
    <t>Welding, Soldering, and Brazing Machine Setters, Operators, and Tenders</t>
  </si>
  <si>
    <t>7213</t>
  </si>
  <si>
    <t>Sheet-metal workers</t>
  </si>
  <si>
    <t>Sheet Metal Workers</t>
  </si>
  <si>
    <t>Layout Workers, Metal and Plastic</t>
  </si>
  <si>
    <t>7214</t>
  </si>
  <si>
    <t>Structural-metal preparers and erectors</t>
  </si>
  <si>
    <t>Reinforcing Iron and Rebar Workers</t>
  </si>
  <si>
    <t>Structural Iron and Steel Workers</t>
  </si>
  <si>
    <t>Structural Metal Fabricators and Fitters</t>
  </si>
  <si>
    <t>7215</t>
  </si>
  <si>
    <t>Riggers and cable splicers</t>
  </si>
  <si>
    <t>7221</t>
  </si>
  <si>
    <t>Blacksmiths, hammersmiths and forging press workers</t>
  </si>
  <si>
    <t>Forging Machine Setters, Operators, and Tenders, Metal and Plastic</t>
  </si>
  <si>
    <t>51-4199</t>
  </si>
  <si>
    <t>Metal Workers and Plastic Workers, All Other</t>
  </si>
  <si>
    <t>7222</t>
  </si>
  <si>
    <t>Toolmakers and related workers</t>
  </si>
  <si>
    <t>Locksmiths and Safe Repairers</t>
  </si>
  <si>
    <t>Model Makers, Metal and Plastic</t>
  </si>
  <si>
    <t>Patternmakers, Metal and Plastic</t>
  </si>
  <si>
    <t>Tool and Die Makers</t>
  </si>
  <si>
    <t>7223</t>
  </si>
  <si>
    <t>Metal working machine tool setters and operators</t>
  </si>
  <si>
    <t>Computer-Controlled Machine Tool Operators, Metal and Plastic</t>
  </si>
  <si>
    <t>Extruding and Drawing Machine Setters, Operators, and Tenders, Metal and Plastic</t>
  </si>
  <si>
    <t>Rolling Machine Setters, Operators, and Tenders, Metal and Plastic</t>
  </si>
  <si>
    <t>Cutting, Punching, and Press Machine Setters, Operators, and Tenders, Metal and Plastic</t>
  </si>
  <si>
    <t>Drilling and Boring Machine Tool Setters, Operators, and Tenders, Metal and Plastic</t>
  </si>
  <si>
    <t>Grinding, Lapping, Polishing, and Buffing Machine Tool Setters, Operators, and Tenders, Metal and Plastic</t>
  </si>
  <si>
    <t>Lathe and Turning Machine Tool Setters, Operators, and Tenders, Metal and Plastic</t>
  </si>
  <si>
    <t>Milling and Planing Machine Setters, Operators, and Tenders, Metal and Plastic</t>
  </si>
  <si>
    <t>Multiple Machine Tool Setters, Operators, and Tenders, Metal and Plastic</t>
  </si>
  <si>
    <t>7224</t>
  </si>
  <si>
    <t>Metal polishers, wheel grinders and tool sharpeners</t>
  </si>
  <si>
    <t>Tool Grinders, Filers, and Sharpeners</t>
  </si>
  <si>
    <t>Grinding and Polishing Workers, Hand</t>
  </si>
  <si>
    <t>7231</t>
  </si>
  <si>
    <t>Motor vehicle mechanics and repairers</t>
  </si>
  <si>
    <t>Automotive Body and Related Repairers</t>
  </si>
  <si>
    <t>Automotive Glass Installers and Repairers</t>
  </si>
  <si>
    <t>Automotive Service Technicians and Mechanics</t>
  </si>
  <si>
    <t>Bus and Truck Mechanics and Diesel Engine Specialists</t>
  </si>
  <si>
    <t>Motorboat Mechanics and Service Technicians</t>
  </si>
  <si>
    <t>Motorcycle Mechanics</t>
  </si>
  <si>
    <t>Outdoor Power Equipment and Other Small Engine Mechanics</t>
  </si>
  <si>
    <t>Recreational Vehicle Service Technicians</t>
  </si>
  <si>
    <t>Tire Repairers and Changers</t>
  </si>
  <si>
    <t>7232</t>
  </si>
  <si>
    <t>Aircraft engine mechanics and repairers</t>
  </si>
  <si>
    <t>Aircraft Mechanics and Service Technicians</t>
  </si>
  <si>
    <t>7233</t>
  </si>
  <si>
    <t>Agricultural and industrial machinery mechanics and repairers</t>
  </si>
  <si>
    <t>Farm Equipment Mechanics and Service Technicians</t>
  </si>
  <si>
    <t>Mobile Heavy Equipment Mechanics, Except Engines</t>
  </si>
  <si>
    <t>Rail Car Repairers</t>
  </si>
  <si>
    <t>Industrial Machinery Mechanics</t>
  </si>
  <si>
    <t>Maintenance Workers, Machinery</t>
  </si>
  <si>
    <t>49-9081</t>
  </si>
  <si>
    <t>Wind Turbine Service Technicians</t>
  </si>
  <si>
    <t>7234</t>
  </si>
  <si>
    <t>Bicycle and related repairers</t>
  </si>
  <si>
    <t>Bicycle Repairers</t>
  </si>
  <si>
    <t>7311</t>
  </si>
  <si>
    <t>Precision-instrument makers and repairers</t>
  </si>
  <si>
    <t>Camera and Photographic Equipment Repairers</t>
  </si>
  <si>
    <t>Medical Equipment Repairers</t>
  </si>
  <si>
    <t>Watch Repairers</t>
  </si>
  <si>
    <t>49-9069</t>
  </si>
  <si>
    <t>Precision Instrument and Equipment Repairers, All Other</t>
  </si>
  <si>
    <t>7312</t>
  </si>
  <si>
    <t>Musical instrument makers and tuners</t>
  </si>
  <si>
    <t>Musical Instrument Repairers and Tuners</t>
  </si>
  <si>
    <t>7313</t>
  </si>
  <si>
    <t>Jewellery and precious-metal workers</t>
  </si>
  <si>
    <t>Jewelers and Precious Stone and Metal Workers</t>
  </si>
  <si>
    <t>7314</t>
  </si>
  <si>
    <t>Potters and related workers</t>
  </si>
  <si>
    <t>Molders, Shapers, and Casters, Except Metal and Plastic</t>
  </si>
  <si>
    <t>7315</t>
  </si>
  <si>
    <t>Glass makers, cutters, grinders and finishers</t>
  </si>
  <si>
    <t>Cutters and Trimmers, Hand</t>
  </si>
  <si>
    <t>7316</t>
  </si>
  <si>
    <t>Sign writers, decorative painters, engravers and etchers</t>
  </si>
  <si>
    <t>Painting, Coating, and Decorating Workers</t>
  </si>
  <si>
    <t>Etchers and Engravers</t>
  </si>
  <si>
    <t>7317</t>
  </si>
  <si>
    <t>Handicraft workers in wood, basketry and related materials</t>
  </si>
  <si>
    <t>51-7099</t>
  </si>
  <si>
    <t>Woodworkers, All Other</t>
  </si>
  <si>
    <t>7318</t>
  </si>
  <si>
    <t>Handicraft workers in textile, leather and related materials</t>
  </si>
  <si>
    <t>Shoe and Leather Workers and Repairers</t>
  </si>
  <si>
    <t>7319</t>
  </si>
  <si>
    <t>Handicraft workers not elsewhere classified</t>
  </si>
  <si>
    <t>7321</t>
  </si>
  <si>
    <t>Pre-press technicians</t>
  </si>
  <si>
    <t>Desktop Publishers</t>
  </si>
  <si>
    <t>Prepress Technicians and Workers</t>
  </si>
  <si>
    <t>7322</t>
  </si>
  <si>
    <t xml:space="preserve">Printers </t>
  </si>
  <si>
    <t>Printing Press Operators</t>
  </si>
  <si>
    <t>7323</t>
  </si>
  <si>
    <t>Print finishing and binding workers</t>
  </si>
  <si>
    <t>Print Binding and Finishing Workers</t>
  </si>
  <si>
    <t>7411</t>
  </si>
  <si>
    <t>Building and related electricians</t>
  </si>
  <si>
    <t>7412</t>
  </si>
  <si>
    <t>Electrical mechanics and fitters</t>
  </si>
  <si>
    <t>Elevator Installers and Repairers</t>
  </si>
  <si>
    <t>Electric Motor, Power Tool, and Related Repairers</t>
  </si>
  <si>
    <t>Electrical and Electronics Installers and Repairers, Transportation Equipment</t>
  </si>
  <si>
    <t>Electrical and Electronics Repairers, Commercial and Industrial Equipment</t>
  </si>
  <si>
    <t>Electrical and Electronics Repairers, Powerhouse, Substation, and Relay</t>
  </si>
  <si>
    <t>Electronic Equipment Installers and Repairers, Motor Vehicles</t>
  </si>
  <si>
    <t>Security and Fire Alarm Systems Installers</t>
  </si>
  <si>
    <t>Mechanical Door Repairers</t>
  </si>
  <si>
    <t>Control and Valve Installers and Repairers, Except Mechanical Door</t>
  </si>
  <si>
    <t>Home Appliance Repairers</t>
  </si>
  <si>
    <t>Signal and Track Switch Repairers</t>
  </si>
  <si>
    <t>7413</t>
  </si>
  <si>
    <t xml:space="preserve">Electrical line installers and repairers </t>
  </si>
  <si>
    <t>Electrical Power-Line Installers and Repairers</t>
  </si>
  <si>
    <t>7421</t>
  </si>
  <si>
    <t>Electronics mechanics and servicers</t>
  </si>
  <si>
    <t>Computer, Automated Teller, and Office Machine Repairers</t>
  </si>
  <si>
    <t>Avionics Technicians</t>
  </si>
  <si>
    <t>7422</t>
  </si>
  <si>
    <t>Information and communications technology installers and servicers</t>
  </si>
  <si>
    <t>Radio, Cellular, and Tower Equipment Installers and Repairs</t>
  </si>
  <si>
    <t>Telecommunications Equipment Installers and Repairers, Except Line Installers</t>
  </si>
  <si>
    <t>Telecommunications Line Installers and Repairers</t>
  </si>
  <si>
    <t xml:space="preserve">7422 </t>
  </si>
  <si>
    <t>Electronic Home Entertainment Equipment Installers and Repairers</t>
  </si>
  <si>
    <t>7511</t>
  </si>
  <si>
    <t>Butchers, fishmongers and related food preparers</t>
  </si>
  <si>
    <t>Butchers and Meat Cutters</t>
  </si>
  <si>
    <t>Meat, Poultry, and Fish Cutters and Trimmers</t>
  </si>
  <si>
    <t>Slaughterers and Meat Packers</t>
  </si>
  <si>
    <t>Food and Tobacco Roasting, Baking, and Drying Machine Operators and Tenders</t>
  </si>
  <si>
    <t>7512</t>
  </si>
  <si>
    <t>Bakers, pastry-cooks and confectionery makers</t>
  </si>
  <si>
    <t>7513</t>
  </si>
  <si>
    <t>Dairy-products makers</t>
  </si>
  <si>
    <t xml:space="preserve">Food Batchmakers </t>
  </si>
  <si>
    <t>Separating, Filtering, Clarifying, Precipitating, and Still Machine Setters, Operators, and Tenders</t>
  </si>
  <si>
    <t>7514</t>
  </si>
  <si>
    <t>Fruit, vegetable and related preservers</t>
  </si>
  <si>
    <t>Food Cooking Machine Operators and Tenders</t>
  </si>
  <si>
    <t>51-3099</t>
  </si>
  <si>
    <t>Food Processing Workers, All Other</t>
  </si>
  <si>
    <t>7515</t>
  </si>
  <si>
    <t>Food and beverage tasters and graders</t>
  </si>
  <si>
    <t>Graders and Sorters, Agricultural Products</t>
  </si>
  <si>
    <t>7516</t>
  </si>
  <si>
    <t>Tobacco preparers and tobacco products makers</t>
  </si>
  <si>
    <t>Extruding, Forming, Pressing, and Compacting Machine Setters, Operators, and Tenders</t>
  </si>
  <si>
    <t>7521</t>
  </si>
  <si>
    <t>Wood treaters</t>
  </si>
  <si>
    <t>Furnace, Kiln, Oven, Drier, and Kettle Operators and Tenders</t>
  </si>
  <si>
    <t>Adhesive Bonding Machine Operators and Tenders</t>
  </si>
  <si>
    <t>7522</t>
  </si>
  <si>
    <t>Cabinet-makers and related workers</t>
  </si>
  <si>
    <t>Cabinetmakers and Bench Carpenters</t>
  </si>
  <si>
    <t>Model Makers, Wood</t>
  </si>
  <si>
    <t>Patternmakers, Wood</t>
  </si>
  <si>
    <t>7523</t>
  </si>
  <si>
    <t>Woodworking-machine tool setters and operators</t>
  </si>
  <si>
    <t>Woodworking Machine Setters, Operators, and Tenders, Except Sawing</t>
  </si>
  <si>
    <t>7531</t>
  </si>
  <si>
    <t>Tailors, dressmakers, furriers and hatters</t>
  </si>
  <si>
    <t>Tailors, Dressmakers, and Custom Sewers</t>
  </si>
  <si>
    <t>7532</t>
  </si>
  <si>
    <t>Garment and related pattern-makers and cutters</t>
  </si>
  <si>
    <t>Textile Cutting Machine Setters, Operators, and Tenders</t>
  </si>
  <si>
    <t>Fabric and Apparel Patternmakers</t>
  </si>
  <si>
    <t>7533</t>
  </si>
  <si>
    <t>Sewing, embroidery and related workers</t>
  </si>
  <si>
    <t>Fabric Menders, Except Garment</t>
  </si>
  <si>
    <t>Sewers, Hand</t>
  </si>
  <si>
    <t>7534</t>
  </si>
  <si>
    <t>Upholsterers and related workers</t>
  </si>
  <si>
    <t>7535</t>
  </si>
  <si>
    <t>Pelt dressers, tanners and fellmongers</t>
  </si>
  <si>
    <t>51-6099</t>
  </si>
  <si>
    <t>Textile, Apparel, and Furnishings Workers, All Other</t>
  </si>
  <si>
    <t>7536</t>
  </si>
  <si>
    <t>Shoemakers and related workers</t>
  </si>
  <si>
    <t>7541</t>
  </si>
  <si>
    <t>Underwater divers</t>
  </si>
  <si>
    <t>Commercial Divers</t>
  </si>
  <si>
    <t>7542</t>
  </si>
  <si>
    <t>Shotfirers and blasters</t>
  </si>
  <si>
    <t>Explosives Workers, Ordnance Handling Experts, and Blasters</t>
  </si>
  <si>
    <t>7543</t>
  </si>
  <si>
    <t>Product graders and testers (excluding foods and beverages)</t>
  </si>
  <si>
    <t>Inspectors, Testers, Sorters, Samplers, and Weighers</t>
  </si>
  <si>
    <t>7544</t>
  </si>
  <si>
    <t>Fumigators and other pest and weed controllers</t>
  </si>
  <si>
    <t>Pest Control Workers</t>
  </si>
  <si>
    <t>Pesticide Handlers, Sprayers, and Applicators, Vegetation</t>
  </si>
  <si>
    <t>7549</t>
  </si>
  <si>
    <t>Craft and related workers not elsewhere classified</t>
  </si>
  <si>
    <t>Floral Designers</t>
  </si>
  <si>
    <t>Ophthalmic Laboratory Technicians</t>
  </si>
  <si>
    <t>8111</t>
  </si>
  <si>
    <t>Miners and quarriers</t>
  </si>
  <si>
    <t>Earth Drillers, Except Oil and Gas</t>
  </si>
  <si>
    <t>Continuous Mining Machine Operators</t>
  </si>
  <si>
    <t>Mine Cutting and Channeling Machine Operators</t>
  </si>
  <si>
    <t>47-5049</t>
  </si>
  <si>
    <t>Mining Machine Operators, All Other</t>
  </si>
  <si>
    <t>Rock Splitters, Quarry</t>
  </si>
  <si>
    <t>Roof Bolters, Mining</t>
  </si>
  <si>
    <t>Excavating and Loading Machine and Dragline Operators</t>
  </si>
  <si>
    <t>Loading Machine Operators, Underground Mining</t>
  </si>
  <si>
    <t>8112</t>
  </si>
  <si>
    <t>Mineral and stone processing plant operators</t>
  </si>
  <si>
    <t>Crushing, Grinding, and Polishing Machine Setters, Operators, and Tenders</t>
  </si>
  <si>
    <t>Cleaning, Washing, and Metal Pickling Equipment Operators and Tenders</t>
  </si>
  <si>
    <t>8113</t>
  </si>
  <si>
    <t>Well drillers and borers and related workers</t>
  </si>
  <si>
    <t>Derrick Operators, Oil and Gas</t>
  </si>
  <si>
    <t>Rotary Drill Operators, Oil and Gas</t>
  </si>
  <si>
    <t>Service Unit Operators, Oil, Gas, and Mining</t>
  </si>
  <si>
    <t>Roustabouts, Oil and Gas</t>
  </si>
  <si>
    <t>Wellhead Pumpers</t>
  </si>
  <si>
    <t>8114</t>
  </si>
  <si>
    <t>Cement, stone and other mineral products machine operators</t>
  </si>
  <si>
    <t>Mixing and Blending Machine Setters, Operators, and Tenders</t>
  </si>
  <si>
    <t>Cutting and Slicing Machine Setters, Operators, and Tenders</t>
  </si>
  <si>
    <t>8121</t>
  </si>
  <si>
    <t>Metal processing plant operators</t>
  </si>
  <si>
    <t>Pourers and Casters, Metal</t>
  </si>
  <si>
    <t>Heat Treating Equipment Setters, Operators, and Tenders, Metal and Plastic</t>
  </si>
  <si>
    <t>8122</t>
  </si>
  <si>
    <t>Metal finishing, plating and coating machine operators</t>
  </si>
  <si>
    <t>Plating and Coating Machine Setters, Operators, and Tenders, Metal and Plastic</t>
  </si>
  <si>
    <t>8131</t>
  </si>
  <si>
    <t>Chemical products plant and machine operators</t>
  </si>
  <si>
    <t>Chemical Equipment Operators and Tenders</t>
  </si>
  <si>
    <t>8132</t>
  </si>
  <si>
    <t>Photographic products machine operators</t>
  </si>
  <si>
    <t>Photographic Process Workers and Processing Machine Operators</t>
  </si>
  <si>
    <t>8141</t>
  </si>
  <si>
    <t>Rubber products machine operators</t>
  </si>
  <si>
    <t>Tire Builders</t>
  </si>
  <si>
    <t>8142</t>
  </si>
  <si>
    <t>Plastic products machine operators</t>
  </si>
  <si>
    <t>Fiberglass Laminators and Fabricators</t>
  </si>
  <si>
    <t>8143</t>
  </si>
  <si>
    <t>Paper products machine operators</t>
  </si>
  <si>
    <t>Paper Goods Machine Setters, Operators, and Tenders</t>
  </si>
  <si>
    <t>8151</t>
  </si>
  <si>
    <t>Fibre preparing, spinning and winding machine operators</t>
  </si>
  <si>
    <t>Textile Winding, Twisting, and Drawing Out Machine Setters, Operators, and Tenders</t>
  </si>
  <si>
    <t>8152</t>
  </si>
  <si>
    <t>Weaving and knitting machine operators</t>
  </si>
  <si>
    <t>Textile Knitting and Weaving Machine Setters, Operators, and Tenders</t>
  </si>
  <si>
    <t>8153</t>
  </si>
  <si>
    <t>Sewing Machine Operators</t>
  </si>
  <si>
    <t>8154</t>
  </si>
  <si>
    <t>Bleaching, dyeing and fabric cleaning machine operators</t>
  </si>
  <si>
    <t>Textile Bleaching and Dyeing Machine Operators and Tenders</t>
  </si>
  <si>
    <t>8155</t>
  </si>
  <si>
    <t>Fur and leather preparing machine operators</t>
  </si>
  <si>
    <t>8156</t>
  </si>
  <si>
    <t>Shoemaking and related machine operators</t>
  </si>
  <si>
    <t>Shoe Machine Operators and Tenders</t>
  </si>
  <si>
    <t>8157</t>
  </si>
  <si>
    <t>Laundry machine operators</t>
  </si>
  <si>
    <t>Laundry and Dry-Cleaning Workers</t>
  </si>
  <si>
    <t>8159</t>
  </si>
  <si>
    <t>Textile, fur and leather products machine operators not elsewhere classified</t>
  </si>
  <si>
    <t>8160</t>
  </si>
  <si>
    <t>Food and related products machine operators</t>
  </si>
  <si>
    <t>Food Batchmakers</t>
  </si>
  <si>
    <t>Cooling and Freezing Equipment Operators and Tenders</t>
  </si>
  <si>
    <t>8171</t>
  </si>
  <si>
    <t>Pulp and papermaking plant operators</t>
  </si>
  <si>
    <t>8172</t>
  </si>
  <si>
    <t>Wood processing plant operators</t>
  </si>
  <si>
    <t>Sawing Machine Setters, Operators, and Tenders, Wood</t>
  </si>
  <si>
    <t>8181</t>
  </si>
  <si>
    <t>Glass and ceramics plant operators</t>
  </si>
  <si>
    <t>Extruding and Forming Machine Setters, Operators, and Tenders, Synthetic and Glass Fibers</t>
  </si>
  <si>
    <t>8182</t>
  </si>
  <si>
    <t>Steam engine and boiler operators</t>
  </si>
  <si>
    <t>Stationary Engineers and Boiler Operators</t>
  </si>
  <si>
    <t>8183</t>
  </si>
  <si>
    <t>Packing, bottling and labelling machine operators</t>
  </si>
  <si>
    <t>Packaging and Filling Machine Operators and Tenders</t>
  </si>
  <si>
    <t>8189</t>
  </si>
  <si>
    <t>Stationary plant and machine operators not elsewhere classified</t>
  </si>
  <si>
    <t>Conveyor Operators and Tenders</t>
  </si>
  <si>
    <t>8211</t>
  </si>
  <si>
    <t>Mechanical machinery assemblers</t>
  </si>
  <si>
    <t>Aircraft Structure, Surfaces, Rigging, and Systems Assemblers</t>
  </si>
  <si>
    <t>Engine and Other Machine Assemblers</t>
  </si>
  <si>
    <t>8212</t>
  </si>
  <si>
    <t>Coil Winders, Tapers, and Finishers</t>
  </si>
  <si>
    <t>Electrical and Electronic Equipment Assemblers</t>
  </si>
  <si>
    <t>Electromechanical Equipment Assemblers</t>
  </si>
  <si>
    <t>Timing Device Assemblers and Adjusters</t>
  </si>
  <si>
    <t>8219</t>
  </si>
  <si>
    <t>Assemblers not elsewhere classified</t>
  </si>
  <si>
    <t>Team Assemblers</t>
  </si>
  <si>
    <t>51-2099</t>
  </si>
  <si>
    <t>Assemblers and Fabricators, All Other</t>
  </si>
  <si>
    <t>8311</t>
  </si>
  <si>
    <t>Locomotive engine drivers</t>
  </si>
  <si>
    <t>Locomotive Engineers</t>
  </si>
  <si>
    <t>Locomotive Firers</t>
  </si>
  <si>
    <t>Rail Yard Engineers, Dinkey Operators, and Hostlers</t>
  </si>
  <si>
    <t>Subway and Streetcar Operators</t>
  </si>
  <si>
    <t>Mine Shuttle Car Operators</t>
  </si>
  <si>
    <t>8312</t>
  </si>
  <si>
    <t>Railway brake, signal and switch operators</t>
  </si>
  <si>
    <t>Railroad Brake, Signal, and Switch Operators</t>
  </si>
  <si>
    <t>Railroad Conductors and Yardmasters</t>
  </si>
  <si>
    <t>53-4099</t>
  </si>
  <si>
    <t>Rail Transportation Workers, All Other</t>
  </si>
  <si>
    <t>8321</t>
  </si>
  <si>
    <t>Motorcycle drivers</t>
  </si>
  <si>
    <t>53-3099</t>
  </si>
  <si>
    <t>Motor Vehicle Operators, All Other</t>
  </si>
  <si>
    <t>8322</t>
  </si>
  <si>
    <t>Car, taxi and van drivers</t>
  </si>
  <si>
    <t>Ambulance Drivers and Attendants, Except Emergency Medical Technicians</t>
  </si>
  <si>
    <t>Driver/Sales Workers</t>
  </si>
  <si>
    <t>Light Truck or Delivery Services Drivers</t>
  </si>
  <si>
    <t>Taxi Drivers and Chauffeurs</t>
  </si>
  <si>
    <t>8331</t>
  </si>
  <si>
    <t>Bus and tram drivers</t>
  </si>
  <si>
    <t xml:space="preserve">Bus Drivers, Transit and Intercity </t>
  </si>
  <si>
    <t xml:space="preserve">Bus Drivers, School or Special Client </t>
  </si>
  <si>
    <t>8332</t>
  </si>
  <si>
    <t>Heavy truck and lorry drivers</t>
  </si>
  <si>
    <t>Heavy and Tractor-Trailer Truck Drivers</t>
  </si>
  <si>
    <t>8341</t>
  </si>
  <si>
    <t>Mobile farm and forestry plant operators</t>
  </si>
  <si>
    <t>8342</t>
  </si>
  <si>
    <t>Earthmoving and related plant operators</t>
  </si>
  <si>
    <t>Paving, Surfacing, and Tamping Equipment Operators</t>
  </si>
  <si>
    <t>Pile-Driver Operators</t>
  </si>
  <si>
    <t>Operating Engineers and Other Construction Equipment Operators</t>
  </si>
  <si>
    <t>Dredge Operators</t>
  </si>
  <si>
    <t>8343</t>
  </si>
  <si>
    <t>Crane, hoist and related plant operators</t>
  </si>
  <si>
    <t>Amusement and Recreation Attendants</t>
  </si>
  <si>
    <t>Bridge and Lock Tenders</t>
  </si>
  <si>
    <t>Crane and Tower Operators</t>
  </si>
  <si>
    <t>Hoist and Winch Operators</t>
  </si>
  <si>
    <t>8344</t>
  </si>
  <si>
    <t>Lifting truck operators</t>
  </si>
  <si>
    <t>Industrial Truck and Tractor Operators</t>
  </si>
  <si>
    <t>8350</t>
  </si>
  <si>
    <t>Ships' deck crews and related workers</t>
  </si>
  <si>
    <t>Sailors and Marine Oilers</t>
  </si>
  <si>
    <t>Motorboat Operators</t>
  </si>
  <si>
    <t>9111</t>
  </si>
  <si>
    <t>Domestic cleaners and helpers</t>
  </si>
  <si>
    <t>Maids and Housekeeping Cleaners</t>
  </si>
  <si>
    <t>9112</t>
  </si>
  <si>
    <t>Cleaners and helpers in offices, hotels and other establishments</t>
  </si>
  <si>
    <t>Cleaners of Vehicles and Equipment</t>
  </si>
  <si>
    <t>9121</t>
  </si>
  <si>
    <t>Hand launderers and pressers</t>
  </si>
  <si>
    <t>Pressers, Textile, Garment, and Related Materials</t>
  </si>
  <si>
    <t>9122</t>
  </si>
  <si>
    <t>Vehicle cleaners</t>
  </si>
  <si>
    <t>9123</t>
  </si>
  <si>
    <t>Window cleaners</t>
  </si>
  <si>
    <t>9129</t>
  </si>
  <si>
    <t>Other cleaning workers</t>
  </si>
  <si>
    <t>Septic Tank Servicers and Sewer Pipe Cleaners</t>
  </si>
  <si>
    <t>9211</t>
  </si>
  <si>
    <t>Crop farm labourers</t>
  </si>
  <si>
    <t>45-2099</t>
  </si>
  <si>
    <t>Agricultural Workers, All Other</t>
  </si>
  <si>
    <t>9212</t>
  </si>
  <si>
    <t>Livestock farm labourers</t>
  </si>
  <si>
    <t>9213</t>
  </si>
  <si>
    <t>Mixed crop and livestock farm labourers</t>
  </si>
  <si>
    <t>9214</t>
  </si>
  <si>
    <t>Garden and horticultural labourers</t>
  </si>
  <si>
    <t>Landscaping and Groundskeeping Workers</t>
  </si>
  <si>
    <t>37-3019</t>
  </si>
  <si>
    <t>Grounds Maintenance Workers, All Other</t>
  </si>
  <si>
    <t>9215</t>
  </si>
  <si>
    <t>Forestry labourers</t>
  </si>
  <si>
    <t>9216</t>
  </si>
  <si>
    <t>Fishery and aquaculture labourers</t>
  </si>
  <si>
    <t>9311</t>
  </si>
  <si>
    <t>Mining and quarrying labourers</t>
  </si>
  <si>
    <t>Helpers--Extraction Workers</t>
  </si>
  <si>
    <t>47-5099</t>
  </si>
  <si>
    <t>Extraction Workers, All Other</t>
  </si>
  <si>
    <t>9312</t>
  </si>
  <si>
    <t>Civil engineering labourers</t>
  </si>
  <si>
    <t>47-3019</t>
  </si>
  <si>
    <t>Helpers, Construction Trades, All Other</t>
  </si>
  <si>
    <t>Highway Maintenance Workers</t>
  </si>
  <si>
    <t>Rail-Track Laying and Maintenance Equipment Operators</t>
  </si>
  <si>
    <t>9313</t>
  </si>
  <si>
    <t>Building construction labourers</t>
  </si>
  <si>
    <t>Construction Laborers</t>
  </si>
  <si>
    <t>Helpers--Brickmasons, Blockmasons, Stonemasons, and Tile and Marble Setters</t>
  </si>
  <si>
    <t>Helpers--Carpenters</t>
  </si>
  <si>
    <t>Helpers--Electricians</t>
  </si>
  <si>
    <t>Helpers--Painters, Paperhangers, Plasterers, and Stucco Masons</t>
  </si>
  <si>
    <t>Helpers--Pipelayers, Plumbers, Pipefitters, and Steamfitters</t>
  </si>
  <si>
    <t>Helpers--Roofers</t>
  </si>
  <si>
    <t>9321</t>
  </si>
  <si>
    <t>Hand packers</t>
  </si>
  <si>
    <t>Packers and Packagers, Hand</t>
  </si>
  <si>
    <t>9329</t>
  </si>
  <si>
    <t>Manufacturing labourers not elsewhere classified</t>
  </si>
  <si>
    <t>Helpers--Production Workers</t>
  </si>
  <si>
    <t>51-9199</t>
  </si>
  <si>
    <t>Production Workers, All Other</t>
  </si>
  <si>
    <t>Laborers and Freight, Stock, and Material Movers, Hand</t>
  </si>
  <si>
    <t>Machine Feeders and Offbearers</t>
  </si>
  <si>
    <t>9331</t>
  </si>
  <si>
    <t>Hand and pedal vehicle drivers</t>
  </si>
  <si>
    <t>53-6099</t>
  </si>
  <si>
    <t>Transportation Workers, All Other</t>
  </si>
  <si>
    <t>53-7199</t>
  </si>
  <si>
    <t>Material Moving Workers, All Other</t>
  </si>
  <si>
    <t>9332</t>
  </si>
  <si>
    <t>Drivers of animal-drawn vehicles and machinery</t>
  </si>
  <si>
    <t>9333</t>
  </si>
  <si>
    <t>Freight handlers</t>
  </si>
  <si>
    <t>Aircraft Cargo Handling Supervisors</t>
  </si>
  <si>
    <t>First-Line Supervisors of Helpers, Laborers, and Material Movers, Hand</t>
  </si>
  <si>
    <t>Tank Car, Truck, and Ship Loaders</t>
  </si>
  <si>
    <t>9334</t>
  </si>
  <si>
    <t>Shelf fillers</t>
  </si>
  <si>
    <t>9411</t>
  </si>
  <si>
    <t>Fast food preparers</t>
  </si>
  <si>
    <t>Cooks, Fast Food</t>
  </si>
  <si>
    <t>9412</t>
  </si>
  <si>
    <t>Kitchen helpers</t>
  </si>
  <si>
    <t>Food Preparation Workers</t>
  </si>
  <si>
    <t>35-9099</t>
  </si>
  <si>
    <t>Food Preparation and Serving Related Workers, All Other</t>
  </si>
  <si>
    <t>9510</t>
  </si>
  <si>
    <t>Street and related service workers</t>
  </si>
  <si>
    <t>9520</t>
  </si>
  <si>
    <t>Street vendors (excluding food)</t>
  </si>
  <si>
    <t>9611</t>
  </si>
  <si>
    <t>Garbage and recycling collectors</t>
  </si>
  <si>
    <t>Refuse and Recyclable Material Collectors</t>
  </si>
  <si>
    <t>9612</t>
  </si>
  <si>
    <t>Refuse sorters</t>
  </si>
  <si>
    <t>9613</t>
  </si>
  <si>
    <t>Sweepers and related labourers</t>
  </si>
  <si>
    <t>9621</t>
  </si>
  <si>
    <t>Messengers, package deliverers and luggage porters</t>
  </si>
  <si>
    <t>Baggage Porters and Bellhops</t>
  </si>
  <si>
    <t>9622</t>
  </si>
  <si>
    <t>Odd job persons</t>
  </si>
  <si>
    <t>Maintenance and Repair Workers, General</t>
  </si>
  <si>
    <t>Helpers--Installation, Maintenance, and Repair Workers</t>
  </si>
  <si>
    <t>49-9099</t>
  </si>
  <si>
    <t>Installation, Maintenance, and Repair Workers, All Other</t>
  </si>
  <si>
    <t>9623</t>
  </si>
  <si>
    <t>Meter readers and vending-machine collectors</t>
  </si>
  <si>
    <t>Meter Readers, Utilities</t>
  </si>
  <si>
    <t>Coin, Vending, and Amusement Machine Servicers and Repairers</t>
  </si>
  <si>
    <t>9624</t>
  </si>
  <si>
    <t>Water and firewood collectors</t>
  </si>
  <si>
    <t>9629</t>
  </si>
  <si>
    <t>Elementary workers not elsewhere classified</t>
  </si>
  <si>
    <t>Motion Picture Projectionists</t>
  </si>
  <si>
    <t>Ushers, Lobby Attendants, and Ticket Takers</t>
  </si>
  <si>
    <t>Locker Room, Coatroom, and Dressing Room Attendants</t>
  </si>
  <si>
    <t>Parking Lot Attendants</t>
  </si>
  <si>
    <t>Rank</t>
  </si>
  <si>
    <t>Occupation</t>
  </si>
  <si>
    <t>ISCO Group</t>
  </si>
  <si>
    <r>
      <t>[OC1]</t>
    </r>
    <r>
      <rPr>
        <sz val="10"/>
        <color theme="1"/>
        <rFont val="Arial"/>
        <family val="2"/>
      </rPr>
      <t xml:space="preserve"> Managers</t>
    </r>
  </si>
  <si>
    <r>
      <t>[OC2]</t>
    </r>
    <r>
      <rPr>
        <sz val="10"/>
        <color theme="1"/>
        <rFont val="Arial"/>
        <family val="2"/>
      </rPr>
      <t>Professionals</t>
    </r>
  </si>
  <si>
    <r>
      <t>[OC3]</t>
    </r>
    <r>
      <rPr>
        <sz val="10"/>
        <color theme="1"/>
        <rFont val="Arial"/>
        <family val="2"/>
      </rPr>
      <t xml:space="preserve"> Technicians and associate professionals</t>
    </r>
  </si>
  <si>
    <r>
      <t>[OC4]</t>
    </r>
    <r>
      <rPr>
        <sz val="10"/>
        <color theme="1"/>
        <rFont val="Arial"/>
        <family val="2"/>
      </rPr>
      <t xml:space="preserve"> Clerical support workers</t>
    </r>
  </si>
  <si>
    <r>
      <t>[OC5]</t>
    </r>
    <r>
      <rPr>
        <sz val="10"/>
        <color theme="1"/>
        <rFont val="Arial"/>
        <family val="2"/>
      </rPr>
      <t xml:space="preserve"> Service and sales workers</t>
    </r>
  </si>
  <si>
    <r>
      <t>[OC6]</t>
    </r>
    <r>
      <rPr>
        <sz val="10"/>
        <color theme="1"/>
        <rFont val="Arial"/>
        <family val="2"/>
      </rPr>
      <t xml:space="preserve"> Skilled agricultural, forestry and fishery workers</t>
    </r>
  </si>
  <si>
    <t>Unique flag</t>
  </si>
  <si>
    <t>NoData</t>
  </si>
  <si>
    <r>
      <t xml:space="preserve">[OC7] </t>
    </r>
    <r>
      <rPr>
        <sz val="10"/>
        <color theme="1"/>
        <rFont val="Arial"/>
        <family val="2"/>
      </rPr>
      <t>Craft and related trades workers</t>
    </r>
  </si>
  <si>
    <r>
      <t xml:space="preserve">[OC8] </t>
    </r>
    <r>
      <rPr>
        <sz val="10"/>
        <color theme="1"/>
        <rFont val="Arial"/>
        <family val="2"/>
      </rPr>
      <t>Plant and machine operators and assemblers</t>
    </r>
  </si>
  <si>
    <r>
      <t xml:space="preserve">[OC9] </t>
    </r>
    <r>
      <rPr>
        <sz val="10"/>
        <color theme="1"/>
        <rFont val="Arial"/>
        <family val="2"/>
      </rPr>
      <t>Elementary occupations</t>
    </r>
  </si>
  <si>
    <r>
      <t xml:space="preserve">[OC0] </t>
    </r>
    <r>
      <rPr>
        <sz val="10"/>
        <color theme="1"/>
        <rFont val="Arial"/>
        <family val="2"/>
      </rPr>
      <t>Armed forces occupations</t>
    </r>
  </si>
  <si>
    <t>Probability (median)</t>
  </si>
  <si>
    <t>Probability (median), bez dublikatu</t>
  </si>
  <si>
    <t>Frey &amp; Osborne 2017:</t>
  </si>
  <si>
    <t>Převodní tabulka mezi klasifikacemi SOC 2010 a ISCO-08: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</si>
</sst>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3" x14ac:knownFonts="1"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/>
      <sz val="11"/>
      <color rgb="FFFFFFFF"/>
      <name val="Arial"/>
      <family val="2"/>
      <charset val="238"/>
    </font>
    <font>
      <b/>
      <sz val="12"/>
      <name val="Arial"/>
      <family val="2"/>
      <charset val="238"/>
    </font>
    <font>
      <sz val="10"/>
      <name val="Arial"/>
      <family val="2"/>
      <charset val="238"/>
    </font>
    <font>
      <sz val="12"/>
      <name val="Arial"/>
      <family val="2"/>
      <charset val="1"/>
    </font>
    <font>
      <sz val="10"/>
      <color theme="1"/>
      <name val="Arial"/>
      <family val="2"/>
    </font>
    <font>
      <sz val="7.5"/>
      <color theme="1"/>
      <name val="Courier New"/>
      <family val="3"/>
    </font>
    <font>
      <sz val="7.5"/>
      <color theme="1"/>
      <name val="Courier New"/>
      <family val="3"/>
      <charset val="204"/>
    </font>
    <font>
      <sz val="11"/>
      <color rgb="FFFF0000"/>
      <name val="Calibri"/>
      <family val="2"/>
      <charset val="1"/>
    </font>
    <font>
      <sz val="8"/>
      <name val="Calibri"/>
      <family val="2"/>
      <charset val="1"/>
    </font>
    <font>
      <b/>
      <sz val="11"/>
      <color theme="1"/>
      <name val="Calibri"/>
      <family val="2"/>
    </font>
    <font>
      <b/>
      <sz val="22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DCE6F1"/>
        <bgColor rgb="FFCCFFFF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49" fontId="3" fillId="0" borderId="1" xfId="1" applyNumberFormat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164" fontId="4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/>
    </xf>
    <xf numFmtId="49" fontId="5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1" fontId="5" fillId="0" borderId="1" xfId="1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9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</cellXfs>
  <cellStyles count="2">
    <cellStyle name="Normal" xfId="0" builtinId="0"/>
    <cellStyle name="Normal 20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127"/>
  <sheetViews>
    <sheetView tabSelected="1" zoomScale="55" zoomScaleNormal="55" workbookViewId="0">
      <pane ySplit="1" topLeftCell="A2" activePane="bottomLeft" state="frozen"/>
      <selection pane="bottomLeft" activeCell="Q3" sqref="Q3"/>
    </sheetView>
  </sheetViews>
  <sheetFormatPr defaultColWidth="8.6640625" defaultRowHeight="14.4" x14ac:dyDescent="0.3"/>
  <cols>
    <col min="1" max="1" width="10.33203125" style="1" customWidth="1"/>
    <col min="2" max="2" width="11.88671875" style="1" customWidth="1"/>
    <col min="3" max="3" width="46.88671875" style="1" customWidth="1"/>
    <col min="4" max="4" width="55" style="1" customWidth="1"/>
    <col min="5" max="6" width="9.109375" style="1" customWidth="1"/>
    <col min="7" max="7" width="20.33203125" style="1" customWidth="1"/>
    <col min="8" max="8" width="10.109375" style="1" customWidth="1"/>
    <col min="9" max="9" width="33.5546875" style="1" customWidth="1"/>
    <col min="10" max="10" width="9.109375" style="1" customWidth="1"/>
    <col min="11" max="11" width="50.77734375" style="1" bestFit="1" customWidth="1"/>
    <col min="12" max="12" width="13" style="1" customWidth="1"/>
    <col min="13" max="13" width="14.5546875" customWidth="1"/>
    <col min="14" max="14" width="25" customWidth="1"/>
    <col min="15" max="15" width="24.33203125" customWidth="1"/>
    <col min="16" max="16" width="12.6640625" customWidth="1"/>
    <col min="17" max="18" width="11.88671875" customWidth="1"/>
  </cols>
  <sheetData>
    <row r="1" spans="1:17" ht="70.5" customHeight="1" x14ac:dyDescent="0.3">
      <c r="C1" s="22" t="s">
        <v>3209</v>
      </c>
      <c r="I1" s="23" t="s">
        <v>3210</v>
      </c>
    </row>
    <row r="2" spans="1:17" ht="46.8" customHeight="1" x14ac:dyDescent="0.3">
      <c r="A2" s="2" t="s">
        <v>3192</v>
      </c>
      <c r="B2" s="2" t="s">
        <v>2</v>
      </c>
      <c r="C2" s="2" t="s">
        <v>3193</v>
      </c>
      <c r="D2" s="2" t="s">
        <v>4</v>
      </c>
      <c r="H2" s="3" t="s">
        <v>0</v>
      </c>
      <c r="I2" s="3" t="s">
        <v>1</v>
      </c>
      <c r="J2" s="3" t="s">
        <v>2</v>
      </c>
      <c r="K2" s="4" t="s">
        <v>3</v>
      </c>
      <c r="L2" s="3" t="s">
        <v>4</v>
      </c>
      <c r="M2" s="21" t="s">
        <v>3201</v>
      </c>
      <c r="O2" s="14" t="s">
        <v>3194</v>
      </c>
      <c r="P2" s="14" t="s">
        <v>3207</v>
      </c>
      <c r="Q2" s="14" t="s">
        <v>3208</v>
      </c>
    </row>
    <row r="3" spans="1:17" ht="51" customHeight="1" x14ac:dyDescent="0.3">
      <c r="A3" s="5">
        <v>1</v>
      </c>
      <c r="B3" s="5" t="s">
        <v>5</v>
      </c>
      <c r="C3" s="5" t="s">
        <v>6</v>
      </c>
      <c r="D3" s="6">
        <v>2.8E-3</v>
      </c>
      <c r="H3" s="10" t="s">
        <v>7</v>
      </c>
      <c r="I3" s="11" t="s">
        <v>8</v>
      </c>
      <c r="J3" s="10" t="s">
        <v>9</v>
      </c>
      <c r="K3" s="11" t="s">
        <v>10</v>
      </c>
      <c r="L3" s="18" t="str">
        <f t="shared" ref="L3:L66" si="0">IFERROR(INDEX($D$3:$D$704,MATCH(TRIM(J3),$B$3:$B$704,0)),"")</f>
        <v/>
      </c>
      <c r="M3" s="15" t="str">
        <f t="shared" ref="M3:M66" si="1">LEFT(TEXT(H3,"0000")*0.1)</f>
        <v>1</v>
      </c>
      <c r="O3" s="16" t="s">
        <v>3195</v>
      </c>
      <c r="P3" s="19" cm="1">
        <f t="array" ref="P3">MEDIAN(IF($M$3:$M$2000="1", $L$3:$L$1200))</f>
        <v>4.2999999999999997E-2</v>
      </c>
      <c r="Q3" s="20" cm="1">
        <f t="array" ref="Q3">MEDIAN(_xlfn.CHOOSECOLS(_xlfn.UNIQUE(_xlfn._xlws.FILTER(_xlfn.HSTACK(M3:M2000, J3:J2000, L3:L2000), M3:M2000="1")), 3))</f>
        <v>2.4E-2</v>
      </c>
    </row>
    <row r="4" spans="1:17" ht="56.25" customHeight="1" x14ac:dyDescent="0.3">
      <c r="A4" s="7">
        <v>2</v>
      </c>
      <c r="B4" s="7" t="s">
        <v>11</v>
      </c>
      <c r="C4" s="7" t="s">
        <v>12</v>
      </c>
      <c r="D4" s="8">
        <v>3.0000000000000001E-3</v>
      </c>
      <c r="H4" s="10" t="s">
        <v>7</v>
      </c>
      <c r="I4" s="11" t="s">
        <v>8</v>
      </c>
      <c r="J4" s="10" t="s">
        <v>13</v>
      </c>
      <c r="K4" s="11" t="s">
        <v>14</v>
      </c>
      <c r="L4" s="18" t="str">
        <f t="shared" si="0"/>
        <v/>
      </c>
      <c r="M4" s="15" t="str">
        <f t="shared" si="1"/>
        <v>1</v>
      </c>
      <c r="O4" s="17" t="s">
        <v>3196</v>
      </c>
      <c r="P4" s="19" cm="1">
        <f t="array" ref="P4">MEDIAN(IF($M$3:$M$2000="2", $L$3:$L$1200))</f>
        <v>3.7999999999999999E-2</v>
      </c>
      <c r="Q4" s="20" cm="1">
        <f t="array" ref="Q4">MEDIAN(_xlfn.CHOOSECOLS(_xlfn.UNIQUE(_xlfn._xlws.FILTER(_xlfn.HSTACK(M4:M2001, J4:J2001, L4:L2001), M4:M2001="2")), 3))</f>
        <v>3.7999999999999999E-2</v>
      </c>
    </row>
    <row r="5" spans="1:17" ht="56.25" customHeight="1" x14ac:dyDescent="0.3">
      <c r="A5" s="5">
        <v>3</v>
      </c>
      <c r="B5" s="5" t="s">
        <v>15</v>
      </c>
      <c r="C5" s="5" t="s">
        <v>16</v>
      </c>
      <c r="D5" s="6">
        <v>3.0000000000000001E-3</v>
      </c>
      <c r="H5" s="10" t="s">
        <v>7</v>
      </c>
      <c r="I5" s="11" t="s">
        <v>8</v>
      </c>
      <c r="J5" s="10" t="s">
        <v>17</v>
      </c>
      <c r="K5" s="11" t="s">
        <v>18</v>
      </c>
      <c r="L5" s="18" t="str">
        <f t="shared" si="0"/>
        <v/>
      </c>
      <c r="M5" s="15" t="str">
        <f t="shared" si="1"/>
        <v>1</v>
      </c>
      <c r="O5" s="17" t="s">
        <v>3197</v>
      </c>
      <c r="P5" s="19" cm="1">
        <f t="array" ref="P5">MEDIAN(IF($M$3:$M$2000="3", $L$3:$L$1200))</f>
        <v>0.48</v>
      </c>
      <c r="Q5" s="20" cm="1">
        <f t="array" ref="Q5">MEDIAN(_xlfn.CHOOSECOLS(_xlfn.UNIQUE(_xlfn._xlws.FILTER(_xlfn.HSTACK(M5:M2002, J5:J2002, L5:L2002), M5:M2002="3")), 3))</f>
        <v>0.53</v>
      </c>
    </row>
    <row r="6" spans="1:17" ht="56.25" customHeight="1" x14ac:dyDescent="0.3">
      <c r="A6" s="7">
        <v>4</v>
      </c>
      <c r="B6" s="7" t="s">
        <v>19</v>
      </c>
      <c r="C6" s="7" t="s">
        <v>20</v>
      </c>
      <c r="D6" s="8">
        <v>3.0999999999999999E-3</v>
      </c>
      <c r="H6" s="10" t="s">
        <v>7</v>
      </c>
      <c r="I6" s="11" t="s">
        <v>8</v>
      </c>
      <c r="J6" s="10" t="s">
        <v>21</v>
      </c>
      <c r="K6" s="11" t="s">
        <v>22</v>
      </c>
      <c r="L6" s="18" t="str">
        <f t="shared" si="0"/>
        <v/>
      </c>
      <c r="M6" s="15" t="str">
        <f t="shared" si="1"/>
        <v>1</v>
      </c>
      <c r="O6" s="17" t="s">
        <v>3198</v>
      </c>
      <c r="P6" s="19" cm="1">
        <f t="array" ref="P6">MEDIAN(IF($M$3:$M$2000="4", $L$3:$L$1200))</f>
        <v>0.95</v>
      </c>
      <c r="Q6" s="20" cm="1">
        <f t="array" ref="Q6">MEDIAN(_xlfn.CHOOSECOLS(_xlfn.UNIQUE(_xlfn._xlws.FILTER(_xlfn.HSTACK(M6:M2003, J6:J2003, L6:L2003), M6:M2003="4")), 3))</f>
        <v>0.94</v>
      </c>
    </row>
    <row r="7" spans="1:17" ht="56.25" customHeight="1" x14ac:dyDescent="0.3">
      <c r="A7" s="5">
        <v>5</v>
      </c>
      <c r="B7" s="5" t="s">
        <v>23</v>
      </c>
      <c r="C7" s="5" t="s">
        <v>24</v>
      </c>
      <c r="D7" s="6">
        <v>3.3E-3</v>
      </c>
      <c r="H7" s="10" t="s">
        <v>7</v>
      </c>
      <c r="I7" s="11" t="s">
        <v>8</v>
      </c>
      <c r="J7" s="10" t="s">
        <v>25</v>
      </c>
      <c r="K7" s="11" t="s">
        <v>26</v>
      </c>
      <c r="L7" s="18" t="str">
        <f t="shared" si="0"/>
        <v/>
      </c>
      <c r="M7" s="15" t="str">
        <f t="shared" si="1"/>
        <v>1</v>
      </c>
      <c r="O7" s="17" t="s">
        <v>3199</v>
      </c>
      <c r="P7" s="19" cm="1">
        <f t="array" ref="P7">MEDIAN(IF($M$3:$M$2000="5", $L$3:$L$1200))</f>
        <v>0.6</v>
      </c>
      <c r="Q7" s="20" cm="1">
        <f t="array" ref="Q7">MEDIAN(_xlfn.CHOOSECOLS(_xlfn.UNIQUE(_xlfn._xlws.FILTER(_xlfn.HSTACK(M7:M2004, J7:J2004, L7:L2004), M7:M2004="5")), 3))</f>
        <v>0.63</v>
      </c>
    </row>
    <row r="8" spans="1:17" ht="56.25" customHeight="1" x14ac:dyDescent="0.3">
      <c r="A8" s="7">
        <v>6</v>
      </c>
      <c r="B8" s="7" t="s">
        <v>27</v>
      </c>
      <c r="C8" s="7" t="s">
        <v>28</v>
      </c>
      <c r="D8" s="8">
        <v>3.5000000000000001E-3</v>
      </c>
      <c r="H8" s="10" t="s">
        <v>7</v>
      </c>
      <c r="I8" s="11" t="s">
        <v>8</v>
      </c>
      <c r="J8" s="10" t="s">
        <v>29</v>
      </c>
      <c r="K8" s="11" t="s">
        <v>30</v>
      </c>
      <c r="L8" s="18" t="str">
        <f t="shared" si="0"/>
        <v/>
      </c>
      <c r="M8" s="15" t="str">
        <f t="shared" si="1"/>
        <v>1</v>
      </c>
      <c r="O8" s="17" t="s">
        <v>3200</v>
      </c>
      <c r="P8" s="19" cm="1">
        <f t="array" ref="P8">MEDIAN(IF($M$3:$M$2000="6", $L$3:$L$1200))</f>
        <v>0.76500000000000001</v>
      </c>
      <c r="Q8" s="20" cm="1">
        <f t="array" ref="Q8">MEDIAN(_xlfn.CHOOSECOLS(_xlfn.UNIQUE(_xlfn._xlws.FILTER(_xlfn.HSTACK(M8:M2005, J8:J2005, L8:L2005), M8:M2005="6")), 3))</f>
        <v>0.78</v>
      </c>
    </row>
    <row r="9" spans="1:17" ht="56.25" customHeight="1" x14ac:dyDescent="0.3">
      <c r="A9" s="5">
        <v>7</v>
      </c>
      <c r="B9" s="5" t="s">
        <v>31</v>
      </c>
      <c r="C9" s="5" t="s">
        <v>32</v>
      </c>
      <c r="D9" s="6">
        <v>3.5000000000000001E-3</v>
      </c>
      <c r="H9" s="10" t="s">
        <v>7</v>
      </c>
      <c r="I9" s="11" t="s">
        <v>8</v>
      </c>
      <c r="J9" s="10" t="s">
        <v>33</v>
      </c>
      <c r="K9" s="11" t="s">
        <v>34</v>
      </c>
      <c r="L9" s="18" t="str">
        <f t="shared" si="0"/>
        <v/>
      </c>
      <c r="M9" s="15" t="str">
        <f t="shared" si="1"/>
        <v>1</v>
      </c>
      <c r="O9" s="17" t="s">
        <v>3203</v>
      </c>
      <c r="P9" s="19" cm="1">
        <f t="array" ref="P9">MEDIAN(IF($M$3:$M$2000="7", $L$3:$L$1200))</f>
        <v>0.79</v>
      </c>
      <c r="Q9" s="20" cm="1">
        <f t="array" ref="Q9">MEDIAN(_xlfn.CHOOSECOLS(_xlfn.UNIQUE(_xlfn._xlws.FILTER(_xlfn.HSTACK(M9:M2006, J9:J2006, L9:L2006), M9:M2006="7")), 3))</f>
        <v>0.82499999999999996</v>
      </c>
    </row>
    <row r="10" spans="1:17" ht="56.25" customHeight="1" x14ac:dyDescent="0.3">
      <c r="A10" s="7">
        <v>8</v>
      </c>
      <c r="B10" s="7" t="s">
        <v>35</v>
      </c>
      <c r="C10" s="7" t="s">
        <v>36</v>
      </c>
      <c r="D10" s="8">
        <v>3.5000000000000001E-3</v>
      </c>
      <c r="H10" s="10" t="s">
        <v>7</v>
      </c>
      <c r="I10" s="11" t="s">
        <v>8</v>
      </c>
      <c r="J10" s="10" t="s">
        <v>37</v>
      </c>
      <c r="K10" s="11" t="s">
        <v>38</v>
      </c>
      <c r="L10" s="18" t="str">
        <f t="shared" si="0"/>
        <v/>
      </c>
      <c r="M10" s="15" t="str">
        <f t="shared" si="1"/>
        <v>1</v>
      </c>
      <c r="O10" s="17" t="s">
        <v>3204</v>
      </c>
      <c r="P10" s="19" cm="1">
        <f t="array" ref="P10">MEDIAN(IF($M$3:$M$2000="8", $L$3:$L$1200))</f>
        <v>0.88</v>
      </c>
      <c r="Q10" s="20" cm="1">
        <f t="array" ref="Q10">MEDIAN(_xlfn.CHOOSECOLS(_xlfn.UNIQUE(_xlfn._xlws.FILTER(_xlfn.HSTACK(M10:M2007, J10:J2007, L10:L2007), M10:M2007="8")), 3))</f>
        <v>0.88</v>
      </c>
    </row>
    <row r="11" spans="1:17" ht="56.25" customHeight="1" x14ac:dyDescent="0.3">
      <c r="A11" s="5">
        <v>9</v>
      </c>
      <c r="B11" s="5" t="s">
        <v>39</v>
      </c>
      <c r="C11" s="5" t="s">
        <v>40</v>
      </c>
      <c r="D11" s="6">
        <v>3.5999999999999999E-3</v>
      </c>
      <c r="H11" s="10" t="s">
        <v>41</v>
      </c>
      <c r="I11" s="11" t="s">
        <v>42</v>
      </c>
      <c r="J11" s="10" t="s">
        <v>43</v>
      </c>
      <c r="K11" s="11" t="s">
        <v>44</v>
      </c>
      <c r="L11" s="18" t="str">
        <f t="shared" si="0"/>
        <v/>
      </c>
      <c r="M11" s="15" t="str">
        <f t="shared" si="1"/>
        <v>2</v>
      </c>
      <c r="O11" s="17" t="s">
        <v>3205</v>
      </c>
      <c r="P11" s="19" cm="1">
        <f t="array" ref="P11">MEDIAN(IF($M$3:$M$2000="9", $L$3:$L$1200))</f>
        <v>0.83</v>
      </c>
      <c r="Q11" s="20" cm="1">
        <f t="array" ref="Q11">MEDIAN(_xlfn.CHOOSECOLS(_xlfn.UNIQUE(_xlfn._xlws.FILTER(_xlfn.HSTACK(M11:M2008, J11:J2008, L11:L2008), M11:M2008="9")), 3))</f>
        <v>0.83</v>
      </c>
    </row>
    <row r="12" spans="1:17" ht="56.25" customHeight="1" x14ac:dyDescent="0.3">
      <c r="A12" s="7">
        <v>10</v>
      </c>
      <c r="B12" s="7" t="s">
        <v>45</v>
      </c>
      <c r="C12" s="7" t="s">
        <v>46</v>
      </c>
      <c r="D12" s="8">
        <v>3.5999999999999999E-3</v>
      </c>
      <c r="H12" s="10" t="s">
        <v>41</v>
      </c>
      <c r="I12" s="11" t="s">
        <v>42</v>
      </c>
      <c r="J12" s="10" t="s">
        <v>47</v>
      </c>
      <c r="K12" s="11" t="s">
        <v>48</v>
      </c>
      <c r="L12" s="18" t="str">
        <f t="shared" si="0"/>
        <v/>
      </c>
      <c r="M12" s="15" t="str">
        <f t="shared" si="1"/>
        <v>2</v>
      </c>
      <c r="O12" s="17" t="s">
        <v>3206</v>
      </c>
      <c r="P12" s="19" t="s">
        <v>3202</v>
      </c>
      <c r="Q12" s="20" t="s">
        <v>3202</v>
      </c>
    </row>
    <row r="13" spans="1:17" ht="56.25" customHeight="1" x14ac:dyDescent="0.3">
      <c r="A13" s="5">
        <v>11</v>
      </c>
      <c r="B13" s="5" t="s">
        <v>49</v>
      </c>
      <c r="C13" s="5" t="s">
        <v>50</v>
      </c>
      <c r="D13" s="6">
        <v>3.8999999999999998E-3</v>
      </c>
      <c r="H13" s="10" t="s">
        <v>41</v>
      </c>
      <c r="I13" s="11" t="s">
        <v>42</v>
      </c>
      <c r="J13" s="10" t="s">
        <v>51</v>
      </c>
      <c r="K13" s="11" t="s">
        <v>52</v>
      </c>
      <c r="L13" s="18" t="str">
        <f t="shared" si="0"/>
        <v/>
      </c>
      <c r="M13" s="15" t="str">
        <f t="shared" si="1"/>
        <v>2</v>
      </c>
    </row>
    <row r="14" spans="1:17" ht="56.25" customHeight="1" x14ac:dyDescent="0.3">
      <c r="A14" s="7">
        <v>12</v>
      </c>
      <c r="B14" s="7" t="s">
        <v>53</v>
      </c>
      <c r="C14" s="7" t="s">
        <v>54</v>
      </c>
      <c r="D14" s="8">
        <v>3.8999999999999998E-3</v>
      </c>
      <c r="H14" s="10" t="s">
        <v>55</v>
      </c>
      <c r="I14" s="11" t="s">
        <v>56</v>
      </c>
      <c r="J14" s="10" t="s">
        <v>57</v>
      </c>
      <c r="K14" s="11" t="s">
        <v>58</v>
      </c>
      <c r="L14" s="18" t="str">
        <f t="shared" si="0"/>
        <v/>
      </c>
      <c r="M14" s="15" t="str">
        <f t="shared" si="1"/>
        <v>3</v>
      </c>
    </row>
    <row r="15" spans="1:17" ht="56.25" customHeight="1" x14ac:dyDescent="0.3">
      <c r="A15" s="5">
        <v>13</v>
      </c>
      <c r="B15" s="5" t="s">
        <v>59</v>
      </c>
      <c r="C15" s="5" t="s">
        <v>60</v>
      </c>
      <c r="D15" s="6">
        <v>4.0000000000000001E-3</v>
      </c>
      <c r="H15" s="10" t="s">
        <v>55</v>
      </c>
      <c r="I15" s="11" t="s">
        <v>56</v>
      </c>
      <c r="J15" s="10" t="s">
        <v>61</v>
      </c>
      <c r="K15" s="11" t="s">
        <v>62</v>
      </c>
      <c r="L15" s="18" t="str">
        <f t="shared" si="0"/>
        <v/>
      </c>
      <c r="M15" s="15" t="str">
        <f t="shared" si="1"/>
        <v>3</v>
      </c>
    </row>
    <row r="16" spans="1:17" ht="56.25" customHeight="1" x14ac:dyDescent="0.3">
      <c r="A16" s="7">
        <v>14</v>
      </c>
      <c r="B16" s="7" t="s">
        <v>63</v>
      </c>
      <c r="C16" s="7" t="s">
        <v>64</v>
      </c>
      <c r="D16" s="8">
        <v>4.1000000000000003E-3</v>
      </c>
      <c r="H16" s="10" t="s">
        <v>55</v>
      </c>
      <c r="I16" s="11" t="s">
        <v>56</v>
      </c>
      <c r="J16" s="10" t="s">
        <v>65</v>
      </c>
      <c r="K16" s="11" t="s">
        <v>66</v>
      </c>
      <c r="L16" s="18" t="str">
        <f t="shared" si="0"/>
        <v/>
      </c>
      <c r="M16" s="15" t="str">
        <f t="shared" si="1"/>
        <v>3</v>
      </c>
    </row>
    <row r="17" spans="1:13" ht="56.25" customHeight="1" x14ac:dyDescent="0.3">
      <c r="A17" s="5">
        <v>15</v>
      </c>
      <c r="B17" s="5" t="s">
        <v>67</v>
      </c>
      <c r="C17" s="5" t="s">
        <v>68</v>
      </c>
      <c r="D17" s="6">
        <v>4.1999999999999997E-3</v>
      </c>
      <c r="H17" s="10" t="s">
        <v>55</v>
      </c>
      <c r="I17" s="11" t="s">
        <v>56</v>
      </c>
      <c r="J17" s="10" t="s">
        <v>69</v>
      </c>
      <c r="K17" s="11" t="s">
        <v>70</v>
      </c>
      <c r="L17" s="18" t="str">
        <f t="shared" si="0"/>
        <v/>
      </c>
      <c r="M17" s="15" t="str">
        <f t="shared" si="1"/>
        <v>3</v>
      </c>
    </row>
    <row r="18" spans="1:13" ht="56.25" customHeight="1" x14ac:dyDescent="0.3">
      <c r="A18" s="7">
        <v>16</v>
      </c>
      <c r="B18" s="7" t="s">
        <v>71</v>
      </c>
      <c r="C18" s="7" t="s">
        <v>72</v>
      </c>
      <c r="D18" s="8">
        <v>4.1999999999999997E-3</v>
      </c>
      <c r="H18" s="10" t="s">
        <v>55</v>
      </c>
      <c r="I18" s="11" t="s">
        <v>56</v>
      </c>
      <c r="J18" s="10" t="s">
        <v>73</v>
      </c>
      <c r="K18" s="11" t="s">
        <v>74</v>
      </c>
      <c r="L18" s="18" t="str">
        <f t="shared" si="0"/>
        <v/>
      </c>
      <c r="M18" s="15" t="str">
        <f t="shared" si="1"/>
        <v>3</v>
      </c>
    </row>
    <row r="19" spans="1:13" ht="56.25" customHeight="1" x14ac:dyDescent="0.3">
      <c r="A19" s="5">
        <v>17</v>
      </c>
      <c r="B19" s="5" t="s">
        <v>75</v>
      </c>
      <c r="C19" s="5" t="s">
        <v>76</v>
      </c>
      <c r="D19" s="6">
        <v>4.3E-3</v>
      </c>
      <c r="H19" s="10" t="s">
        <v>55</v>
      </c>
      <c r="I19" s="11" t="s">
        <v>56</v>
      </c>
      <c r="J19" s="10" t="s">
        <v>77</v>
      </c>
      <c r="K19" s="11" t="s">
        <v>78</v>
      </c>
      <c r="L19" s="18" t="str">
        <f t="shared" si="0"/>
        <v/>
      </c>
      <c r="M19" s="15" t="str">
        <f t="shared" si="1"/>
        <v>3</v>
      </c>
    </row>
    <row r="20" spans="1:13" ht="56.25" customHeight="1" x14ac:dyDescent="0.3">
      <c r="A20" s="7">
        <v>18</v>
      </c>
      <c r="B20" s="7" t="s">
        <v>79</v>
      </c>
      <c r="C20" s="7" t="s">
        <v>80</v>
      </c>
      <c r="D20" s="8">
        <v>4.4000000000000003E-3</v>
      </c>
      <c r="H20" s="10" t="s">
        <v>55</v>
      </c>
      <c r="I20" s="11" t="s">
        <v>56</v>
      </c>
      <c r="J20" s="10" t="s">
        <v>81</v>
      </c>
      <c r="K20" s="11" t="s">
        <v>82</v>
      </c>
      <c r="L20" s="18" t="str">
        <f t="shared" si="0"/>
        <v/>
      </c>
      <c r="M20" s="15" t="str">
        <f t="shared" si="1"/>
        <v>3</v>
      </c>
    </row>
    <row r="21" spans="1:13" ht="56.25" customHeight="1" x14ac:dyDescent="0.3">
      <c r="A21" s="5">
        <v>19</v>
      </c>
      <c r="B21" s="5" t="s">
        <v>83</v>
      </c>
      <c r="C21" s="5" t="s">
        <v>84</v>
      </c>
      <c r="D21" s="6">
        <v>4.4000000000000003E-3</v>
      </c>
      <c r="H21" s="10" t="s">
        <v>55</v>
      </c>
      <c r="I21" s="11" t="s">
        <v>56</v>
      </c>
      <c r="J21" s="10" t="s">
        <v>85</v>
      </c>
      <c r="K21" s="11" t="s">
        <v>86</v>
      </c>
      <c r="L21" s="18" t="str">
        <f t="shared" si="0"/>
        <v/>
      </c>
      <c r="M21" s="15" t="str">
        <f t="shared" si="1"/>
        <v>3</v>
      </c>
    </row>
    <row r="22" spans="1:13" ht="56.25" customHeight="1" x14ac:dyDescent="0.3">
      <c r="A22" s="7">
        <v>20</v>
      </c>
      <c r="B22" s="7" t="s">
        <v>87</v>
      </c>
      <c r="C22" s="7" t="s">
        <v>88</v>
      </c>
      <c r="D22" s="8">
        <v>4.4000000000000003E-3</v>
      </c>
      <c r="H22" s="10" t="s">
        <v>55</v>
      </c>
      <c r="I22" s="11" t="s">
        <v>56</v>
      </c>
      <c r="J22" s="10" t="s">
        <v>89</v>
      </c>
      <c r="K22" s="11" t="s">
        <v>90</v>
      </c>
      <c r="L22" s="18" t="str">
        <f t="shared" si="0"/>
        <v/>
      </c>
      <c r="M22" s="15" t="str">
        <f t="shared" si="1"/>
        <v>3</v>
      </c>
    </row>
    <row r="23" spans="1:13" ht="56.25" customHeight="1" x14ac:dyDescent="0.3">
      <c r="A23" s="5">
        <v>21</v>
      </c>
      <c r="B23" s="5" t="s">
        <v>91</v>
      </c>
      <c r="C23" s="5" t="s">
        <v>92</v>
      </c>
      <c r="D23" s="6">
        <v>4.4999999999999997E-3</v>
      </c>
      <c r="H23" s="10" t="s">
        <v>93</v>
      </c>
      <c r="I23" s="11" t="s">
        <v>94</v>
      </c>
      <c r="J23" s="10" t="s">
        <v>95</v>
      </c>
      <c r="K23" s="11" t="s">
        <v>94</v>
      </c>
      <c r="L23" s="18" t="str">
        <f t="shared" si="0"/>
        <v/>
      </c>
      <c r="M23" s="15" t="str">
        <f t="shared" si="1"/>
        <v>1</v>
      </c>
    </row>
    <row r="24" spans="1:13" ht="56.25" customHeight="1" x14ac:dyDescent="0.3">
      <c r="A24" s="7">
        <v>22</v>
      </c>
      <c r="B24" s="7" t="s">
        <v>96</v>
      </c>
      <c r="C24" s="7" t="s">
        <v>97</v>
      </c>
      <c r="D24" s="8">
        <v>4.5999999999999999E-3</v>
      </c>
      <c r="H24" s="10" t="s">
        <v>98</v>
      </c>
      <c r="I24" s="11" t="s">
        <v>99</v>
      </c>
      <c r="J24" s="10" t="s">
        <v>100</v>
      </c>
      <c r="K24" s="11" t="s">
        <v>101</v>
      </c>
      <c r="L24" s="18">
        <f t="shared" si="0"/>
        <v>1.4999999999999999E-2</v>
      </c>
      <c r="M24" s="15" t="str">
        <f t="shared" si="1"/>
        <v>1</v>
      </c>
    </row>
    <row r="25" spans="1:13" ht="56.25" customHeight="1" x14ac:dyDescent="0.3">
      <c r="A25" s="5">
        <v>23</v>
      </c>
      <c r="B25" s="5" t="s">
        <v>102</v>
      </c>
      <c r="C25" s="5" t="s">
        <v>103</v>
      </c>
      <c r="D25" s="6">
        <v>4.5999999999999999E-3</v>
      </c>
      <c r="H25" s="10" t="s">
        <v>98</v>
      </c>
      <c r="I25" s="11" t="s">
        <v>99</v>
      </c>
      <c r="J25" s="10" t="s">
        <v>104</v>
      </c>
      <c r="K25" s="11" t="s">
        <v>105</v>
      </c>
      <c r="L25" s="18">
        <f t="shared" si="0"/>
        <v>0.16</v>
      </c>
      <c r="M25" s="15" t="str">
        <f t="shared" si="1"/>
        <v>1</v>
      </c>
    </row>
    <row r="26" spans="1:13" ht="56.25" customHeight="1" x14ac:dyDescent="0.3">
      <c r="A26" s="7">
        <v>24</v>
      </c>
      <c r="B26" s="7" t="s">
        <v>106</v>
      </c>
      <c r="C26" s="7" t="s">
        <v>107</v>
      </c>
      <c r="D26" s="8">
        <v>4.7000000000000002E-3</v>
      </c>
      <c r="H26" s="10" t="s">
        <v>98</v>
      </c>
      <c r="I26" s="11" t="s">
        <v>99</v>
      </c>
      <c r="J26" s="10" t="s">
        <v>15</v>
      </c>
      <c r="K26" s="11" t="s">
        <v>108</v>
      </c>
      <c r="L26" s="18">
        <f t="shared" si="0"/>
        <v>3.0000000000000001E-3</v>
      </c>
      <c r="M26" s="15" t="str">
        <f t="shared" si="1"/>
        <v>1</v>
      </c>
    </row>
    <row r="27" spans="1:13" ht="56.25" customHeight="1" x14ac:dyDescent="0.3">
      <c r="A27" s="5">
        <v>25</v>
      </c>
      <c r="B27" s="5" t="s">
        <v>109</v>
      </c>
      <c r="C27" s="5" t="s">
        <v>110</v>
      </c>
      <c r="D27" s="6">
        <v>4.7999999999999996E-3</v>
      </c>
      <c r="H27" s="10" t="s">
        <v>111</v>
      </c>
      <c r="I27" s="11" t="s">
        <v>112</v>
      </c>
      <c r="J27" s="10" t="s">
        <v>100</v>
      </c>
      <c r="K27" s="11" t="s">
        <v>101</v>
      </c>
      <c r="L27" s="18">
        <f t="shared" si="0"/>
        <v>1.4999999999999999E-2</v>
      </c>
      <c r="M27" s="15" t="str">
        <f t="shared" si="1"/>
        <v>1</v>
      </c>
    </row>
    <row r="28" spans="1:13" ht="56.25" customHeight="1" x14ac:dyDescent="0.3">
      <c r="A28" s="7">
        <v>26</v>
      </c>
      <c r="B28" s="7" t="s">
        <v>113</v>
      </c>
      <c r="C28" s="7" t="s">
        <v>114</v>
      </c>
      <c r="D28" s="8">
        <v>4.8999999999999998E-3</v>
      </c>
      <c r="H28" s="10" t="s">
        <v>111</v>
      </c>
      <c r="I28" s="11" t="s">
        <v>112</v>
      </c>
      <c r="J28" s="10" t="s">
        <v>95</v>
      </c>
      <c r="K28" s="11" t="s">
        <v>94</v>
      </c>
      <c r="L28" s="18" t="str">
        <f t="shared" si="0"/>
        <v/>
      </c>
      <c r="M28" s="15" t="str">
        <f t="shared" si="1"/>
        <v>1</v>
      </c>
    </row>
    <row r="29" spans="1:13" ht="56.25" customHeight="1" x14ac:dyDescent="0.3">
      <c r="A29" s="5">
        <v>27</v>
      </c>
      <c r="B29" s="5" t="s">
        <v>115</v>
      </c>
      <c r="C29" s="5" t="s">
        <v>116</v>
      </c>
      <c r="D29" s="6">
        <v>5.4999999999999997E-3</v>
      </c>
      <c r="H29" s="10" t="s">
        <v>117</v>
      </c>
      <c r="I29" s="11" t="s">
        <v>118</v>
      </c>
      <c r="J29" s="10" t="s">
        <v>104</v>
      </c>
      <c r="K29" s="11" t="s">
        <v>105</v>
      </c>
      <c r="L29" s="18">
        <f t="shared" si="0"/>
        <v>0.16</v>
      </c>
      <c r="M29" s="15" t="str">
        <f t="shared" si="1"/>
        <v>1</v>
      </c>
    </row>
    <row r="30" spans="1:13" ht="56.25" customHeight="1" x14ac:dyDescent="0.3">
      <c r="A30" s="7">
        <v>28</v>
      </c>
      <c r="B30" s="7" t="s">
        <v>119</v>
      </c>
      <c r="C30" s="7" t="s">
        <v>120</v>
      </c>
      <c r="D30" s="8">
        <v>5.4999999999999997E-3</v>
      </c>
      <c r="H30" s="10" t="s">
        <v>117</v>
      </c>
      <c r="I30" s="11" t="s">
        <v>118</v>
      </c>
      <c r="J30" s="10" t="s">
        <v>121</v>
      </c>
      <c r="K30" s="11" t="s">
        <v>122</v>
      </c>
      <c r="L30" s="18">
        <f t="shared" si="0"/>
        <v>1.4999999999999999E-2</v>
      </c>
      <c r="M30" s="15" t="str">
        <f t="shared" si="1"/>
        <v>1</v>
      </c>
    </row>
    <row r="31" spans="1:13" ht="56.25" customHeight="1" x14ac:dyDescent="0.3">
      <c r="A31" s="5">
        <v>29</v>
      </c>
      <c r="B31" s="5" t="s">
        <v>123</v>
      </c>
      <c r="C31" s="5" t="s">
        <v>124</v>
      </c>
      <c r="D31" s="6">
        <v>6.1000000000000004E-3</v>
      </c>
      <c r="H31" s="10" t="s">
        <v>117</v>
      </c>
      <c r="I31" s="11" t="s">
        <v>118</v>
      </c>
      <c r="J31" s="10" t="s">
        <v>125</v>
      </c>
      <c r="K31" s="11" t="s">
        <v>126</v>
      </c>
      <c r="L31" s="18">
        <f t="shared" si="0"/>
        <v>0.25</v>
      </c>
      <c r="M31" s="15" t="str">
        <f t="shared" si="1"/>
        <v>1</v>
      </c>
    </row>
    <row r="32" spans="1:13" ht="56.25" customHeight="1" x14ac:dyDescent="0.3">
      <c r="A32" s="7">
        <v>30</v>
      </c>
      <c r="B32" s="7" t="s">
        <v>127</v>
      </c>
      <c r="C32" s="7" t="s">
        <v>128</v>
      </c>
      <c r="D32" s="8">
        <v>6.3E-3</v>
      </c>
      <c r="H32" s="10" t="s">
        <v>129</v>
      </c>
      <c r="I32" s="11" t="s">
        <v>130</v>
      </c>
      <c r="J32" s="10" t="s">
        <v>100</v>
      </c>
      <c r="K32" s="11" t="s">
        <v>101</v>
      </c>
      <c r="L32" s="18">
        <f t="shared" si="0"/>
        <v>1.4999999999999999E-2</v>
      </c>
      <c r="M32" s="15" t="str">
        <f t="shared" si="1"/>
        <v>1</v>
      </c>
    </row>
    <row r="33" spans="1:13" ht="56.25" customHeight="1" x14ac:dyDescent="0.3">
      <c r="A33" s="5">
        <v>31</v>
      </c>
      <c r="B33" s="5" t="s">
        <v>131</v>
      </c>
      <c r="C33" s="5" t="s">
        <v>132</v>
      </c>
      <c r="D33" s="6">
        <v>6.4000000000000003E-3</v>
      </c>
      <c r="H33" s="10" t="s">
        <v>129</v>
      </c>
      <c r="I33" s="11" t="s">
        <v>130</v>
      </c>
      <c r="J33" s="10" t="s">
        <v>104</v>
      </c>
      <c r="K33" s="11" t="s">
        <v>105</v>
      </c>
      <c r="L33" s="18">
        <f t="shared" si="0"/>
        <v>0.16</v>
      </c>
      <c r="M33" s="15" t="str">
        <f t="shared" si="1"/>
        <v>1</v>
      </c>
    </row>
    <row r="34" spans="1:13" ht="56.25" customHeight="1" x14ac:dyDescent="0.3">
      <c r="A34" s="7">
        <v>32</v>
      </c>
      <c r="B34" s="7" t="s">
        <v>133</v>
      </c>
      <c r="C34" s="7" t="s">
        <v>134</v>
      </c>
      <c r="D34" s="8">
        <v>6.4999999999999997E-3</v>
      </c>
      <c r="H34" s="10" t="s">
        <v>135</v>
      </c>
      <c r="I34" s="11" t="s">
        <v>136</v>
      </c>
      <c r="J34" s="10" t="s">
        <v>137</v>
      </c>
      <c r="K34" s="11" t="s">
        <v>138</v>
      </c>
      <c r="L34" s="18">
        <f t="shared" si="0"/>
        <v>6.9000000000000006E-2</v>
      </c>
      <c r="M34" s="15" t="str">
        <f t="shared" si="1"/>
        <v>1</v>
      </c>
    </row>
    <row r="35" spans="1:13" ht="56.25" customHeight="1" x14ac:dyDescent="0.3">
      <c r="A35" s="5">
        <v>33</v>
      </c>
      <c r="B35" s="5" t="s">
        <v>139</v>
      </c>
      <c r="C35" s="5" t="s">
        <v>140</v>
      </c>
      <c r="D35" s="6">
        <v>6.7000000000000002E-3</v>
      </c>
      <c r="H35" s="10" t="s">
        <v>141</v>
      </c>
      <c r="I35" s="11" t="s">
        <v>142</v>
      </c>
      <c r="J35" s="10" t="s">
        <v>143</v>
      </c>
      <c r="K35" s="11" t="s">
        <v>144</v>
      </c>
      <c r="L35" s="18">
        <f t="shared" si="0"/>
        <v>0.96</v>
      </c>
      <c r="M35" s="15" t="str">
        <f t="shared" si="1"/>
        <v>1</v>
      </c>
    </row>
    <row r="36" spans="1:13" ht="56.25" customHeight="1" x14ac:dyDescent="0.3">
      <c r="A36" s="7">
        <v>34</v>
      </c>
      <c r="B36" s="7" t="s">
        <v>145</v>
      </c>
      <c r="C36" s="7" t="s">
        <v>146</v>
      </c>
      <c r="D36" s="8">
        <v>6.7999999999999996E-3</v>
      </c>
      <c r="H36" s="10" t="s">
        <v>141</v>
      </c>
      <c r="I36" s="11" t="s">
        <v>142</v>
      </c>
      <c r="J36" s="10" t="s">
        <v>119</v>
      </c>
      <c r="K36" s="11" t="s">
        <v>147</v>
      </c>
      <c r="L36" s="18">
        <f t="shared" si="0"/>
        <v>5.4999999999999997E-3</v>
      </c>
      <c r="M36" s="15" t="str">
        <f t="shared" si="1"/>
        <v>1</v>
      </c>
    </row>
    <row r="37" spans="1:13" ht="56.25" customHeight="1" x14ac:dyDescent="0.3">
      <c r="A37" s="5">
        <v>35</v>
      </c>
      <c r="B37" s="5" t="s">
        <v>148</v>
      </c>
      <c r="C37" s="5" t="s">
        <v>149</v>
      </c>
      <c r="D37" s="6">
        <v>7.1000000000000004E-3</v>
      </c>
      <c r="H37" s="10" t="s">
        <v>141</v>
      </c>
      <c r="I37" s="11" t="s">
        <v>142</v>
      </c>
      <c r="J37" s="10" t="s">
        <v>127</v>
      </c>
      <c r="K37" s="11" t="s">
        <v>150</v>
      </c>
      <c r="L37" s="18">
        <f t="shared" si="0"/>
        <v>6.3E-3</v>
      </c>
      <c r="M37" s="15" t="str">
        <f t="shared" si="1"/>
        <v>1</v>
      </c>
    </row>
    <row r="38" spans="1:13" ht="56.25" customHeight="1" x14ac:dyDescent="0.3">
      <c r="A38" s="7">
        <v>36</v>
      </c>
      <c r="B38" s="7" t="s">
        <v>151</v>
      </c>
      <c r="C38" s="7" t="s">
        <v>152</v>
      </c>
      <c r="D38" s="8">
        <v>7.3000000000000001E-3</v>
      </c>
      <c r="H38" s="10" t="s">
        <v>153</v>
      </c>
      <c r="I38" s="11" t="s">
        <v>154</v>
      </c>
      <c r="J38" s="10" t="s">
        <v>125</v>
      </c>
      <c r="K38" s="11" t="s">
        <v>126</v>
      </c>
      <c r="L38" s="18">
        <f t="shared" si="0"/>
        <v>0.25</v>
      </c>
      <c r="M38" s="15" t="str">
        <f t="shared" si="1"/>
        <v>1</v>
      </c>
    </row>
    <row r="39" spans="1:13" ht="56.25" customHeight="1" x14ac:dyDescent="0.3">
      <c r="A39" s="5">
        <v>37</v>
      </c>
      <c r="B39" s="5" t="s">
        <v>155</v>
      </c>
      <c r="C39" s="5" t="s">
        <v>156</v>
      </c>
      <c r="D39" s="6">
        <v>7.4000000000000003E-3</v>
      </c>
      <c r="H39" s="10" t="s">
        <v>157</v>
      </c>
      <c r="I39" s="11" t="s">
        <v>158</v>
      </c>
      <c r="J39" s="10" t="s">
        <v>121</v>
      </c>
      <c r="K39" s="11" t="s">
        <v>122</v>
      </c>
      <c r="L39" s="18">
        <f t="shared" si="0"/>
        <v>1.4999999999999999E-2</v>
      </c>
      <c r="M39" s="15" t="str">
        <f t="shared" si="1"/>
        <v>1</v>
      </c>
    </row>
    <row r="40" spans="1:13" ht="56.25" customHeight="1" x14ac:dyDescent="0.3">
      <c r="A40" s="7">
        <v>38</v>
      </c>
      <c r="B40" s="7" t="s">
        <v>159</v>
      </c>
      <c r="C40" s="7" t="s">
        <v>160</v>
      </c>
      <c r="D40" s="8">
        <v>7.4999999999999997E-3</v>
      </c>
      <c r="H40" s="10" t="s">
        <v>157</v>
      </c>
      <c r="I40" s="11" t="s">
        <v>158</v>
      </c>
      <c r="J40" s="10" t="s">
        <v>161</v>
      </c>
      <c r="K40" s="11" t="s">
        <v>162</v>
      </c>
      <c r="L40" s="18">
        <f t="shared" si="0"/>
        <v>0.73</v>
      </c>
      <c r="M40" s="15" t="str">
        <f t="shared" si="1"/>
        <v>1</v>
      </c>
    </row>
    <row r="41" spans="1:13" ht="56.25" customHeight="1" x14ac:dyDescent="0.3">
      <c r="A41" s="5">
        <v>39</v>
      </c>
      <c r="B41" s="5" t="s">
        <v>163</v>
      </c>
      <c r="C41" s="5" t="s">
        <v>164</v>
      </c>
      <c r="D41" s="6">
        <v>7.7000000000000002E-3</v>
      </c>
      <c r="H41" s="10" t="s">
        <v>157</v>
      </c>
      <c r="I41" s="11" t="s">
        <v>158</v>
      </c>
      <c r="J41" s="10" t="s">
        <v>165</v>
      </c>
      <c r="K41" s="11" t="s">
        <v>166</v>
      </c>
      <c r="L41" s="18">
        <f t="shared" si="0"/>
        <v>0.03</v>
      </c>
      <c r="M41" s="15" t="str">
        <f t="shared" si="1"/>
        <v>1</v>
      </c>
    </row>
    <row r="42" spans="1:13" ht="56.25" customHeight="1" x14ac:dyDescent="0.3">
      <c r="A42" s="7">
        <v>40</v>
      </c>
      <c r="B42" s="7" t="s">
        <v>167</v>
      </c>
      <c r="C42" s="7" t="s">
        <v>168</v>
      </c>
      <c r="D42" s="8">
        <v>7.7000000000000002E-3</v>
      </c>
      <c r="H42" s="10" t="s">
        <v>157</v>
      </c>
      <c r="I42" s="11" t="s">
        <v>158</v>
      </c>
      <c r="J42" s="10" t="s">
        <v>169</v>
      </c>
      <c r="K42" s="11" t="s">
        <v>170</v>
      </c>
      <c r="L42" s="18" t="str">
        <f t="shared" si="0"/>
        <v/>
      </c>
      <c r="M42" s="15" t="str">
        <f t="shared" si="1"/>
        <v>1</v>
      </c>
    </row>
    <row r="43" spans="1:13" ht="56.25" customHeight="1" x14ac:dyDescent="0.3">
      <c r="A43" s="5">
        <v>41</v>
      </c>
      <c r="B43" s="5" t="s">
        <v>171</v>
      </c>
      <c r="C43" s="5" t="s">
        <v>172</v>
      </c>
      <c r="D43" s="6">
        <v>7.7999999999999996E-3</v>
      </c>
      <c r="H43" s="10" t="s">
        <v>157</v>
      </c>
      <c r="I43" s="11" t="s">
        <v>158</v>
      </c>
      <c r="J43" s="10" t="s">
        <v>173</v>
      </c>
      <c r="K43" s="11" t="s">
        <v>174</v>
      </c>
      <c r="L43" s="18">
        <f t="shared" si="0"/>
        <v>0.75</v>
      </c>
      <c r="M43" s="15" t="str">
        <f t="shared" si="1"/>
        <v>1</v>
      </c>
    </row>
    <row r="44" spans="1:13" ht="56.25" customHeight="1" x14ac:dyDescent="0.3">
      <c r="A44" s="7">
        <v>42</v>
      </c>
      <c r="B44" s="7" t="s">
        <v>175</v>
      </c>
      <c r="C44" s="7" t="s">
        <v>176</v>
      </c>
      <c r="D44" s="8">
        <v>8.0999999999999996E-3</v>
      </c>
      <c r="H44" s="10" t="s">
        <v>157</v>
      </c>
      <c r="I44" s="11" t="s">
        <v>158</v>
      </c>
      <c r="J44" s="10" t="s">
        <v>125</v>
      </c>
      <c r="K44" s="11" t="s">
        <v>126</v>
      </c>
      <c r="L44" s="18">
        <f t="shared" si="0"/>
        <v>0.25</v>
      </c>
      <c r="M44" s="15" t="str">
        <f t="shared" si="1"/>
        <v>1</v>
      </c>
    </row>
    <row r="45" spans="1:13" ht="56.25" customHeight="1" x14ac:dyDescent="0.3">
      <c r="A45" s="5">
        <v>43</v>
      </c>
      <c r="B45" s="5" t="s">
        <v>177</v>
      </c>
      <c r="C45" s="5" t="s">
        <v>178</v>
      </c>
      <c r="D45" s="6">
        <v>8.0999999999999996E-3</v>
      </c>
      <c r="H45" s="10" t="s">
        <v>179</v>
      </c>
      <c r="I45" s="11" t="s">
        <v>180</v>
      </c>
      <c r="J45" s="10" t="s">
        <v>181</v>
      </c>
      <c r="K45" s="11" t="s">
        <v>182</v>
      </c>
      <c r="L45" s="18">
        <f t="shared" si="0"/>
        <v>1.4E-2</v>
      </c>
      <c r="M45" s="15" t="str">
        <f t="shared" si="1"/>
        <v>1</v>
      </c>
    </row>
    <row r="46" spans="1:13" ht="56.25" customHeight="1" x14ac:dyDescent="0.3">
      <c r="A46" s="7">
        <v>44</v>
      </c>
      <c r="B46" s="7" t="s">
        <v>183</v>
      </c>
      <c r="C46" s="7" t="s">
        <v>184</v>
      </c>
      <c r="D46" s="8">
        <v>8.5000000000000006E-3</v>
      </c>
      <c r="H46" s="10" t="s">
        <v>179</v>
      </c>
      <c r="I46" s="11" t="s">
        <v>180</v>
      </c>
      <c r="J46" s="10" t="s">
        <v>185</v>
      </c>
      <c r="K46" s="11" t="s">
        <v>186</v>
      </c>
      <c r="L46" s="18">
        <f t="shared" si="0"/>
        <v>1.2999999999999999E-2</v>
      </c>
      <c r="M46" s="15" t="str">
        <f t="shared" si="1"/>
        <v>1</v>
      </c>
    </row>
    <row r="47" spans="1:13" ht="56.25" customHeight="1" x14ac:dyDescent="0.3">
      <c r="A47" s="5">
        <v>45</v>
      </c>
      <c r="B47" s="5" t="s">
        <v>187</v>
      </c>
      <c r="C47" s="5" t="s">
        <v>188</v>
      </c>
      <c r="D47" s="6">
        <v>8.8000000000000005E-3</v>
      </c>
      <c r="H47" s="10" t="s">
        <v>189</v>
      </c>
      <c r="I47" s="11" t="s">
        <v>190</v>
      </c>
      <c r="J47" s="10" t="s">
        <v>191</v>
      </c>
      <c r="K47" s="11" t="s">
        <v>192</v>
      </c>
      <c r="L47" s="18">
        <f t="shared" si="0"/>
        <v>3.9E-2</v>
      </c>
      <c r="M47" s="15" t="str">
        <f t="shared" si="1"/>
        <v>1</v>
      </c>
    </row>
    <row r="48" spans="1:13" ht="56.25" customHeight="1" x14ac:dyDescent="0.3">
      <c r="A48" s="7">
        <v>46</v>
      </c>
      <c r="B48" s="7" t="s">
        <v>193</v>
      </c>
      <c r="C48" s="7" t="s">
        <v>194</v>
      </c>
      <c r="D48" s="8">
        <v>8.9999999999999993E-3</v>
      </c>
      <c r="H48" s="10" t="s">
        <v>189</v>
      </c>
      <c r="I48" s="11" t="s">
        <v>190</v>
      </c>
      <c r="J48" s="10" t="s">
        <v>121</v>
      </c>
      <c r="K48" s="11" t="s">
        <v>122</v>
      </c>
      <c r="L48" s="18">
        <f t="shared" si="0"/>
        <v>1.4999999999999999E-2</v>
      </c>
      <c r="M48" s="15" t="str">
        <f t="shared" si="1"/>
        <v>1</v>
      </c>
    </row>
    <row r="49" spans="1:13" ht="56.25" customHeight="1" x14ac:dyDescent="0.3">
      <c r="A49" s="5">
        <v>47</v>
      </c>
      <c r="B49" s="5" t="s">
        <v>195</v>
      </c>
      <c r="C49" s="5" t="s">
        <v>196</v>
      </c>
      <c r="D49" s="6">
        <v>9.4000000000000004E-3</v>
      </c>
      <c r="H49" s="10" t="s">
        <v>197</v>
      </c>
      <c r="I49" s="11" t="s">
        <v>198</v>
      </c>
      <c r="J49" s="10" t="s">
        <v>199</v>
      </c>
      <c r="K49" s="11" t="s">
        <v>200</v>
      </c>
      <c r="L49" s="18">
        <f t="shared" si="0"/>
        <v>1.7000000000000001E-2</v>
      </c>
      <c r="M49" s="15" t="str">
        <f t="shared" si="1"/>
        <v>1</v>
      </c>
    </row>
    <row r="50" spans="1:13" ht="56.25" customHeight="1" x14ac:dyDescent="0.3">
      <c r="A50" s="7">
        <v>48</v>
      </c>
      <c r="B50" s="7" t="s">
        <v>201</v>
      </c>
      <c r="C50" s="7" t="s">
        <v>202</v>
      </c>
      <c r="D50" s="8">
        <v>9.4999999999999998E-3</v>
      </c>
      <c r="H50" s="10" t="s">
        <v>197</v>
      </c>
      <c r="I50" s="11" t="s">
        <v>198</v>
      </c>
      <c r="J50" s="10" t="s">
        <v>203</v>
      </c>
      <c r="K50" s="11" t="s">
        <v>204</v>
      </c>
      <c r="L50" s="18">
        <f t="shared" si="0"/>
        <v>1.7999999999999999E-2</v>
      </c>
      <c r="M50" s="15" t="str">
        <f t="shared" si="1"/>
        <v>1</v>
      </c>
    </row>
    <row r="51" spans="1:13" ht="56.25" customHeight="1" x14ac:dyDescent="0.3">
      <c r="A51" s="5">
        <v>49</v>
      </c>
      <c r="B51" s="5" t="s">
        <v>205</v>
      </c>
      <c r="C51" s="5" t="s">
        <v>206</v>
      </c>
      <c r="D51" s="6">
        <v>9.4999999999999998E-3</v>
      </c>
      <c r="H51" s="10" t="s">
        <v>207</v>
      </c>
      <c r="I51" s="11" t="s">
        <v>208</v>
      </c>
      <c r="J51" s="10" t="s">
        <v>209</v>
      </c>
      <c r="K51" s="11" t="s">
        <v>210</v>
      </c>
      <c r="L51" s="18">
        <f t="shared" si="0"/>
        <v>4.7E-2</v>
      </c>
      <c r="M51" s="15" t="str">
        <f t="shared" si="1"/>
        <v>1</v>
      </c>
    </row>
    <row r="52" spans="1:13" ht="56.25" customHeight="1" x14ac:dyDescent="0.3">
      <c r="A52" s="7">
        <v>50</v>
      </c>
      <c r="B52" s="7" t="s">
        <v>211</v>
      </c>
      <c r="C52" s="7" t="s">
        <v>212</v>
      </c>
      <c r="D52" s="8">
        <v>0.01</v>
      </c>
      <c r="H52" s="10" t="s">
        <v>213</v>
      </c>
      <c r="I52" s="11" t="s">
        <v>214</v>
      </c>
      <c r="J52" s="10" t="s">
        <v>209</v>
      </c>
      <c r="K52" s="11" t="s">
        <v>210</v>
      </c>
      <c r="L52" s="18">
        <f t="shared" si="0"/>
        <v>4.7E-2</v>
      </c>
      <c r="M52" s="15" t="str">
        <f t="shared" si="1"/>
        <v>1</v>
      </c>
    </row>
    <row r="53" spans="1:13" ht="56.25" customHeight="1" x14ac:dyDescent="0.3">
      <c r="A53" s="5">
        <v>51</v>
      </c>
      <c r="B53" s="5" t="s">
        <v>215</v>
      </c>
      <c r="C53" s="5" t="s">
        <v>216</v>
      </c>
      <c r="D53" s="6">
        <v>0.01</v>
      </c>
      <c r="H53" s="10" t="s">
        <v>217</v>
      </c>
      <c r="I53" s="11" t="s">
        <v>218</v>
      </c>
      <c r="J53" s="10" t="s">
        <v>219</v>
      </c>
      <c r="K53" s="11" t="s">
        <v>220</v>
      </c>
      <c r="L53" s="18">
        <f t="shared" si="0"/>
        <v>0.03</v>
      </c>
      <c r="M53" s="15" t="str">
        <f t="shared" si="1"/>
        <v>1</v>
      </c>
    </row>
    <row r="54" spans="1:13" ht="56.25" customHeight="1" x14ac:dyDescent="0.3">
      <c r="A54" s="7">
        <v>52</v>
      </c>
      <c r="B54" s="7" t="s">
        <v>221</v>
      </c>
      <c r="C54" s="7" t="s">
        <v>222</v>
      </c>
      <c r="D54" s="8">
        <v>0.01</v>
      </c>
      <c r="H54" s="10" t="s">
        <v>223</v>
      </c>
      <c r="I54" s="11" t="s">
        <v>224</v>
      </c>
      <c r="J54" s="10" t="s">
        <v>125</v>
      </c>
      <c r="K54" s="11" t="s">
        <v>126</v>
      </c>
      <c r="L54" s="18">
        <f t="shared" si="0"/>
        <v>0.25</v>
      </c>
      <c r="M54" s="15" t="str">
        <f t="shared" si="1"/>
        <v>1</v>
      </c>
    </row>
    <row r="55" spans="1:13" ht="56.25" customHeight="1" x14ac:dyDescent="0.3">
      <c r="A55" s="5">
        <v>53</v>
      </c>
      <c r="B55" s="5" t="s">
        <v>225</v>
      </c>
      <c r="C55" s="5" t="s">
        <v>226</v>
      </c>
      <c r="D55" s="6">
        <v>1.0999999999999999E-2</v>
      </c>
      <c r="H55" s="10" t="s">
        <v>227</v>
      </c>
      <c r="I55" s="11" t="s">
        <v>228</v>
      </c>
      <c r="J55" s="10" t="s">
        <v>229</v>
      </c>
      <c r="K55" s="11" t="s">
        <v>230</v>
      </c>
      <c r="L55" s="18">
        <f t="shared" si="0"/>
        <v>7.0999999999999994E-2</v>
      </c>
      <c r="M55" s="15" t="str">
        <f t="shared" si="1"/>
        <v>1</v>
      </c>
    </row>
    <row r="56" spans="1:13" ht="56.25" customHeight="1" x14ac:dyDescent="0.3">
      <c r="A56" s="7">
        <v>54</v>
      </c>
      <c r="B56" s="7" t="s">
        <v>231</v>
      </c>
      <c r="C56" s="7" t="s">
        <v>232</v>
      </c>
      <c r="D56" s="8">
        <v>1.2E-2</v>
      </c>
      <c r="H56" s="10" t="s">
        <v>233</v>
      </c>
      <c r="I56" s="11" t="s">
        <v>234</v>
      </c>
      <c r="J56" s="10" t="s">
        <v>235</v>
      </c>
      <c r="K56" s="11" t="s">
        <v>236</v>
      </c>
      <c r="L56" s="18">
        <f t="shared" si="0"/>
        <v>0.59</v>
      </c>
      <c r="M56" s="15" t="str">
        <f t="shared" si="1"/>
        <v>1</v>
      </c>
    </row>
    <row r="57" spans="1:13" ht="56.25" customHeight="1" x14ac:dyDescent="0.3">
      <c r="A57" s="5">
        <v>55</v>
      </c>
      <c r="B57" s="5" t="s">
        <v>237</v>
      </c>
      <c r="C57" s="5" t="s">
        <v>238</v>
      </c>
      <c r="D57" s="6">
        <v>1.2E-2</v>
      </c>
      <c r="H57" s="10" t="s">
        <v>239</v>
      </c>
      <c r="I57" s="11" t="s">
        <v>240</v>
      </c>
      <c r="J57" s="10" t="s">
        <v>241</v>
      </c>
      <c r="K57" s="11" t="s">
        <v>242</v>
      </c>
      <c r="L57" s="18">
        <f t="shared" si="0"/>
        <v>3.5000000000000003E-2</v>
      </c>
      <c r="M57" s="15" t="str">
        <f t="shared" si="1"/>
        <v>1</v>
      </c>
    </row>
    <row r="58" spans="1:13" ht="56.25" customHeight="1" x14ac:dyDescent="0.3">
      <c r="A58" s="7">
        <v>56</v>
      </c>
      <c r="B58" s="7" t="s">
        <v>243</v>
      </c>
      <c r="C58" s="7" t="s">
        <v>244</v>
      </c>
      <c r="D58" s="8">
        <v>1.2E-2</v>
      </c>
      <c r="H58" s="10" t="s">
        <v>245</v>
      </c>
      <c r="I58" s="11" t="s">
        <v>246</v>
      </c>
      <c r="J58" s="10" t="s">
        <v>247</v>
      </c>
      <c r="K58" s="11" t="s">
        <v>248</v>
      </c>
      <c r="L58" s="18">
        <f t="shared" si="0"/>
        <v>1.4999999999999999E-2</v>
      </c>
      <c r="M58" s="15" t="str">
        <f t="shared" si="1"/>
        <v>1</v>
      </c>
    </row>
    <row r="59" spans="1:13" ht="56.25" customHeight="1" x14ac:dyDescent="0.3">
      <c r="A59" s="5">
        <v>57</v>
      </c>
      <c r="B59" s="5" t="s">
        <v>249</v>
      </c>
      <c r="C59" s="5" t="s">
        <v>250</v>
      </c>
      <c r="D59" s="6">
        <v>1.2E-2</v>
      </c>
      <c r="H59" s="10" t="s">
        <v>251</v>
      </c>
      <c r="I59" s="11" t="s">
        <v>252</v>
      </c>
      <c r="J59" s="10" t="s">
        <v>151</v>
      </c>
      <c r="K59" s="11" t="s">
        <v>253</v>
      </c>
      <c r="L59" s="18">
        <f t="shared" si="0"/>
        <v>7.3000000000000001E-3</v>
      </c>
      <c r="M59" s="15" t="str">
        <f t="shared" si="1"/>
        <v>1</v>
      </c>
    </row>
    <row r="60" spans="1:13" ht="56.25" customHeight="1" x14ac:dyDescent="0.3">
      <c r="A60" s="7">
        <v>58</v>
      </c>
      <c r="B60" s="7" t="s">
        <v>254</v>
      </c>
      <c r="C60" s="7" t="s">
        <v>255</v>
      </c>
      <c r="D60" s="8">
        <v>1.2999999999999999E-2</v>
      </c>
      <c r="H60" s="10" t="s">
        <v>256</v>
      </c>
      <c r="I60" s="11" t="s">
        <v>257</v>
      </c>
      <c r="J60" s="10" t="s">
        <v>104</v>
      </c>
      <c r="K60" s="11" t="s">
        <v>105</v>
      </c>
      <c r="L60" s="18">
        <f t="shared" si="0"/>
        <v>0.16</v>
      </c>
      <c r="M60" s="15" t="str">
        <f t="shared" si="1"/>
        <v>1</v>
      </c>
    </row>
    <row r="61" spans="1:13" ht="56.25" customHeight="1" x14ac:dyDescent="0.3">
      <c r="A61" s="5">
        <v>59</v>
      </c>
      <c r="B61" s="5" t="s">
        <v>185</v>
      </c>
      <c r="C61" s="5" t="s">
        <v>258</v>
      </c>
      <c r="D61" s="6">
        <v>1.2999999999999999E-2</v>
      </c>
      <c r="H61" s="10" t="s">
        <v>256</v>
      </c>
      <c r="I61" s="11" t="s">
        <v>257</v>
      </c>
      <c r="J61" s="10" t="s">
        <v>151</v>
      </c>
      <c r="K61" s="11" t="s">
        <v>253</v>
      </c>
      <c r="L61" s="18">
        <f t="shared" si="0"/>
        <v>7.3000000000000001E-3</v>
      </c>
      <c r="M61" s="15" t="str">
        <f t="shared" si="1"/>
        <v>1</v>
      </c>
    </row>
    <row r="62" spans="1:13" ht="56.25" customHeight="1" x14ac:dyDescent="0.3">
      <c r="A62" s="7">
        <v>60</v>
      </c>
      <c r="B62" s="7" t="s">
        <v>259</v>
      </c>
      <c r="C62" s="7" t="s">
        <v>260</v>
      </c>
      <c r="D62" s="8">
        <v>1.4E-2</v>
      </c>
      <c r="H62" s="10" t="s">
        <v>261</v>
      </c>
      <c r="I62" s="11" t="s">
        <v>262</v>
      </c>
      <c r="J62" s="10" t="s">
        <v>139</v>
      </c>
      <c r="K62" s="11" t="s">
        <v>263</v>
      </c>
      <c r="L62" s="18">
        <f t="shared" si="0"/>
        <v>6.7000000000000002E-3</v>
      </c>
      <c r="M62" s="15" t="str">
        <f t="shared" si="1"/>
        <v>1</v>
      </c>
    </row>
    <row r="63" spans="1:13" ht="56.25" customHeight="1" x14ac:dyDescent="0.3">
      <c r="A63" s="5">
        <v>61</v>
      </c>
      <c r="B63" s="5" t="s">
        <v>181</v>
      </c>
      <c r="C63" s="5" t="s">
        <v>264</v>
      </c>
      <c r="D63" s="6">
        <v>1.4E-2</v>
      </c>
      <c r="H63" s="10" t="s">
        <v>265</v>
      </c>
      <c r="I63" s="11" t="s">
        <v>266</v>
      </c>
      <c r="J63" s="10" t="s">
        <v>96</v>
      </c>
      <c r="K63" s="11" t="s">
        <v>267</v>
      </c>
      <c r="L63" s="18">
        <f t="shared" si="0"/>
        <v>4.5999999999999999E-3</v>
      </c>
      <c r="M63" s="15" t="str">
        <f t="shared" si="1"/>
        <v>1</v>
      </c>
    </row>
    <row r="64" spans="1:13" ht="56.25" customHeight="1" x14ac:dyDescent="0.3">
      <c r="A64" s="7">
        <v>62</v>
      </c>
      <c r="B64" s="7" t="s">
        <v>268</v>
      </c>
      <c r="C64" s="7" t="s">
        <v>269</v>
      </c>
      <c r="D64" s="8">
        <v>1.4E-2</v>
      </c>
      <c r="H64" s="10" t="s">
        <v>265</v>
      </c>
      <c r="I64" s="11" t="s">
        <v>266</v>
      </c>
      <c r="J64" s="10" t="s">
        <v>221</v>
      </c>
      <c r="K64" s="11" t="s">
        <v>270</v>
      </c>
      <c r="L64" s="18">
        <f t="shared" si="0"/>
        <v>0.01</v>
      </c>
      <c r="M64" s="15" t="str">
        <f t="shared" si="1"/>
        <v>1</v>
      </c>
    </row>
    <row r="65" spans="1:13" ht="56.25" customHeight="1" x14ac:dyDescent="0.3">
      <c r="A65" s="5">
        <v>63</v>
      </c>
      <c r="B65" s="5" t="s">
        <v>271</v>
      </c>
      <c r="C65" s="5" t="s">
        <v>272</v>
      </c>
      <c r="D65" s="6">
        <v>1.4E-2</v>
      </c>
      <c r="H65" s="10" t="s">
        <v>265</v>
      </c>
      <c r="I65" s="11" t="s">
        <v>266</v>
      </c>
      <c r="J65" s="10" t="s">
        <v>273</v>
      </c>
      <c r="K65" s="11" t="s">
        <v>274</v>
      </c>
      <c r="L65" s="18" t="str">
        <f t="shared" si="0"/>
        <v/>
      </c>
      <c r="M65" s="15" t="str">
        <f t="shared" si="1"/>
        <v>1</v>
      </c>
    </row>
    <row r="66" spans="1:13" ht="56.25" customHeight="1" x14ac:dyDescent="0.3">
      <c r="A66" s="7">
        <v>64</v>
      </c>
      <c r="B66" s="7" t="s">
        <v>275</v>
      </c>
      <c r="C66" s="7" t="s">
        <v>276</v>
      </c>
      <c r="D66" s="8">
        <v>1.4E-2</v>
      </c>
      <c r="H66" s="10" t="s">
        <v>277</v>
      </c>
      <c r="I66" s="11" t="s">
        <v>278</v>
      </c>
      <c r="J66" s="10" t="s">
        <v>104</v>
      </c>
      <c r="K66" s="11" t="s">
        <v>105</v>
      </c>
      <c r="L66" s="18">
        <f t="shared" si="0"/>
        <v>0.16</v>
      </c>
      <c r="M66" s="15" t="str">
        <f t="shared" si="1"/>
        <v>1</v>
      </c>
    </row>
    <row r="67" spans="1:13" ht="56.25" customHeight="1" x14ac:dyDescent="0.3">
      <c r="A67" s="5">
        <v>65</v>
      </c>
      <c r="B67" s="5" t="s">
        <v>279</v>
      </c>
      <c r="C67" s="5" t="s">
        <v>280</v>
      </c>
      <c r="D67" s="6">
        <v>1.4E-2</v>
      </c>
      <c r="H67" s="10" t="s">
        <v>277</v>
      </c>
      <c r="I67" s="11" t="s">
        <v>278</v>
      </c>
      <c r="J67" s="10" t="s">
        <v>137</v>
      </c>
      <c r="K67" s="11" t="s">
        <v>138</v>
      </c>
      <c r="L67" s="18">
        <f t="shared" ref="L67:L130" si="2">IFERROR(INDEX($D$3:$D$704,MATCH(TRIM(J67),$B$3:$B$704,0)),"")</f>
        <v>6.9000000000000006E-2</v>
      </c>
      <c r="M67" s="15" t="str">
        <f t="shared" ref="M67:M130" si="3">LEFT(TEXT(H67,"0000")*0.1)</f>
        <v>1</v>
      </c>
    </row>
    <row r="68" spans="1:13" ht="56.25" customHeight="1" x14ac:dyDescent="0.3">
      <c r="A68" s="7">
        <v>66</v>
      </c>
      <c r="B68" s="7" t="s">
        <v>281</v>
      </c>
      <c r="C68" s="7" t="s">
        <v>282</v>
      </c>
      <c r="D68" s="8">
        <v>1.4999999999999999E-2</v>
      </c>
      <c r="H68" s="10" t="s">
        <v>283</v>
      </c>
      <c r="I68" s="11" t="s">
        <v>284</v>
      </c>
      <c r="J68" s="10" t="s">
        <v>125</v>
      </c>
      <c r="K68" s="11" t="s">
        <v>126</v>
      </c>
      <c r="L68" s="18">
        <f t="shared" si="2"/>
        <v>0.25</v>
      </c>
      <c r="M68" s="15" t="str">
        <f t="shared" si="3"/>
        <v>1</v>
      </c>
    </row>
    <row r="69" spans="1:13" ht="56.25" customHeight="1" x14ac:dyDescent="0.3">
      <c r="A69" s="5">
        <v>67</v>
      </c>
      <c r="B69" s="5" t="s">
        <v>121</v>
      </c>
      <c r="C69" s="5" t="s">
        <v>285</v>
      </c>
      <c r="D69" s="6">
        <v>1.4999999999999999E-2</v>
      </c>
      <c r="H69" s="10" t="s">
        <v>286</v>
      </c>
      <c r="I69" s="11" t="s">
        <v>287</v>
      </c>
      <c r="J69" s="10" t="s">
        <v>53</v>
      </c>
      <c r="K69" s="11" t="s">
        <v>288</v>
      </c>
      <c r="L69" s="18">
        <f t="shared" si="2"/>
        <v>3.8999999999999998E-3</v>
      </c>
      <c r="M69" s="15" t="str">
        <f t="shared" si="3"/>
        <v>1</v>
      </c>
    </row>
    <row r="70" spans="1:13" ht="56.25" customHeight="1" x14ac:dyDescent="0.3">
      <c r="A70" s="7">
        <v>68</v>
      </c>
      <c r="B70" s="7" t="s">
        <v>289</v>
      </c>
      <c r="C70" s="7" t="s">
        <v>290</v>
      </c>
      <c r="D70" s="8">
        <v>1.4999999999999999E-2</v>
      </c>
      <c r="H70" s="10" t="s">
        <v>291</v>
      </c>
      <c r="I70" s="11" t="s">
        <v>292</v>
      </c>
      <c r="J70" s="10" t="s">
        <v>293</v>
      </c>
      <c r="K70" s="11" t="s">
        <v>294</v>
      </c>
      <c r="L70" s="18">
        <f t="shared" si="2"/>
        <v>8.3000000000000004E-2</v>
      </c>
      <c r="M70" s="15" t="str">
        <f t="shared" si="3"/>
        <v>1</v>
      </c>
    </row>
    <row r="71" spans="1:13" ht="56.25" customHeight="1" x14ac:dyDescent="0.3">
      <c r="A71" s="5">
        <v>69</v>
      </c>
      <c r="B71" s="5" t="s">
        <v>295</v>
      </c>
      <c r="C71" s="5" t="s">
        <v>296</v>
      </c>
      <c r="D71" s="6">
        <v>1.4999999999999999E-2</v>
      </c>
      <c r="H71" s="11" t="s">
        <v>297</v>
      </c>
      <c r="I71" s="11" t="s">
        <v>298</v>
      </c>
      <c r="J71" s="10" t="s">
        <v>104</v>
      </c>
      <c r="K71" s="11" t="s">
        <v>105</v>
      </c>
      <c r="L71" s="18">
        <f t="shared" si="2"/>
        <v>0.16</v>
      </c>
      <c r="M71" s="15" t="str">
        <f t="shared" si="3"/>
        <v>1</v>
      </c>
    </row>
    <row r="72" spans="1:13" ht="56.25" customHeight="1" x14ac:dyDescent="0.3">
      <c r="A72" s="7">
        <v>70</v>
      </c>
      <c r="B72" s="7" t="s">
        <v>100</v>
      </c>
      <c r="C72" s="7" t="s">
        <v>299</v>
      </c>
      <c r="D72" s="8">
        <v>1.4999999999999999E-2</v>
      </c>
      <c r="H72" s="10" t="s">
        <v>300</v>
      </c>
      <c r="I72" s="11" t="s">
        <v>301</v>
      </c>
      <c r="J72" s="10" t="s">
        <v>302</v>
      </c>
      <c r="K72" s="11" t="s">
        <v>303</v>
      </c>
      <c r="L72" s="18">
        <f t="shared" si="2"/>
        <v>9.0999999999999998E-2</v>
      </c>
      <c r="M72" s="15" t="str">
        <f t="shared" si="3"/>
        <v>1</v>
      </c>
    </row>
    <row r="73" spans="1:13" ht="56.25" customHeight="1" x14ac:dyDescent="0.3">
      <c r="A73" s="5">
        <v>71</v>
      </c>
      <c r="B73" s="5" t="s">
        <v>247</v>
      </c>
      <c r="C73" s="5" t="s">
        <v>304</v>
      </c>
      <c r="D73" s="6">
        <v>1.4999999999999999E-2</v>
      </c>
      <c r="H73" s="10" t="s">
        <v>300</v>
      </c>
      <c r="I73" s="11" t="s">
        <v>301</v>
      </c>
      <c r="J73" s="10" t="s">
        <v>125</v>
      </c>
      <c r="K73" s="11" t="s">
        <v>126</v>
      </c>
      <c r="L73" s="18">
        <f t="shared" si="2"/>
        <v>0.25</v>
      </c>
      <c r="M73" s="15" t="str">
        <f t="shared" si="3"/>
        <v>1</v>
      </c>
    </row>
    <row r="74" spans="1:13" ht="56.25" customHeight="1" x14ac:dyDescent="0.3">
      <c r="A74" s="7">
        <v>72</v>
      </c>
      <c r="B74" s="7" t="s">
        <v>305</v>
      </c>
      <c r="C74" s="7" t="s">
        <v>306</v>
      </c>
      <c r="D74" s="8">
        <v>1.4999999999999999E-2</v>
      </c>
      <c r="H74" s="10" t="s">
        <v>307</v>
      </c>
      <c r="I74" s="11" t="s">
        <v>308</v>
      </c>
      <c r="J74" s="10" t="s">
        <v>125</v>
      </c>
      <c r="K74" s="11" t="s">
        <v>126</v>
      </c>
      <c r="L74" s="18">
        <f t="shared" si="2"/>
        <v>0.25</v>
      </c>
      <c r="M74" s="15" t="str">
        <f t="shared" si="3"/>
        <v>1</v>
      </c>
    </row>
    <row r="75" spans="1:13" ht="56.25" customHeight="1" x14ac:dyDescent="0.3">
      <c r="A75" s="5">
        <v>73</v>
      </c>
      <c r="B75" s="5" t="s">
        <v>309</v>
      </c>
      <c r="C75" s="5" t="s">
        <v>310</v>
      </c>
      <c r="D75" s="6">
        <v>1.6E-2</v>
      </c>
      <c r="H75" s="10" t="s">
        <v>311</v>
      </c>
      <c r="I75" s="11" t="s">
        <v>312</v>
      </c>
      <c r="J75" s="10" t="s">
        <v>313</v>
      </c>
      <c r="K75" s="11" t="s">
        <v>314</v>
      </c>
      <c r="L75" s="18">
        <f t="shared" si="2"/>
        <v>0.43</v>
      </c>
      <c r="M75" s="15" t="str">
        <f t="shared" si="3"/>
        <v>2</v>
      </c>
    </row>
    <row r="76" spans="1:13" ht="56.25" customHeight="1" x14ac:dyDescent="0.3">
      <c r="A76" s="7">
        <v>74</v>
      </c>
      <c r="B76" s="7" t="s">
        <v>315</v>
      </c>
      <c r="C76" s="7" t="s">
        <v>316</v>
      </c>
      <c r="D76" s="8">
        <v>1.6E-2</v>
      </c>
      <c r="H76" s="10" t="s">
        <v>317</v>
      </c>
      <c r="I76" s="11" t="s">
        <v>318</v>
      </c>
      <c r="J76" s="10" t="s">
        <v>319</v>
      </c>
      <c r="K76" s="11" t="s">
        <v>320</v>
      </c>
      <c r="L76" s="18">
        <f t="shared" si="2"/>
        <v>4.1000000000000002E-2</v>
      </c>
      <c r="M76" s="15" t="str">
        <f t="shared" si="3"/>
        <v>2</v>
      </c>
    </row>
    <row r="77" spans="1:13" ht="56.25" customHeight="1" x14ac:dyDescent="0.3">
      <c r="A77" s="5">
        <v>75</v>
      </c>
      <c r="B77" s="5" t="s">
        <v>321</v>
      </c>
      <c r="C77" s="5" t="s">
        <v>322</v>
      </c>
      <c r="D77" s="6">
        <v>1.6E-2</v>
      </c>
      <c r="H77" s="10" t="s">
        <v>317</v>
      </c>
      <c r="I77" s="11" t="s">
        <v>318</v>
      </c>
      <c r="J77" s="10" t="s">
        <v>323</v>
      </c>
      <c r="K77" s="11" t="s">
        <v>324</v>
      </c>
      <c r="L77" s="18">
        <f t="shared" si="2"/>
        <v>0.1</v>
      </c>
      <c r="M77" s="15" t="str">
        <f t="shared" si="3"/>
        <v>2</v>
      </c>
    </row>
    <row r="78" spans="1:13" ht="56.25" customHeight="1" x14ac:dyDescent="0.3">
      <c r="A78" s="7">
        <v>76</v>
      </c>
      <c r="B78" s="7" t="s">
        <v>325</v>
      </c>
      <c r="C78" s="7" t="s">
        <v>326</v>
      </c>
      <c r="D78" s="8">
        <v>1.6E-2</v>
      </c>
      <c r="H78" s="10" t="s">
        <v>327</v>
      </c>
      <c r="I78" s="11" t="s">
        <v>328</v>
      </c>
      <c r="J78" s="10" t="s">
        <v>329</v>
      </c>
      <c r="K78" s="11" t="s">
        <v>330</v>
      </c>
      <c r="L78" s="18">
        <f t="shared" si="2"/>
        <v>0.67</v>
      </c>
      <c r="M78" s="15" t="str">
        <f t="shared" si="3"/>
        <v>2</v>
      </c>
    </row>
    <row r="79" spans="1:13" ht="56.25" customHeight="1" x14ac:dyDescent="0.3">
      <c r="A79" s="5">
        <v>77</v>
      </c>
      <c r="B79" s="5" t="s">
        <v>331</v>
      </c>
      <c r="C79" s="5" t="s">
        <v>332</v>
      </c>
      <c r="D79" s="6">
        <v>1.7000000000000001E-2</v>
      </c>
      <c r="H79" s="10" t="s">
        <v>333</v>
      </c>
      <c r="I79" s="11" t="s">
        <v>334</v>
      </c>
      <c r="J79" s="10" t="s">
        <v>335</v>
      </c>
      <c r="K79" s="11" t="s">
        <v>334</v>
      </c>
      <c r="L79" s="18">
        <f t="shared" si="2"/>
        <v>0.1</v>
      </c>
      <c r="M79" s="15" t="str">
        <f t="shared" si="3"/>
        <v>2</v>
      </c>
    </row>
    <row r="80" spans="1:13" ht="56.25" customHeight="1" x14ac:dyDescent="0.3">
      <c r="A80" s="7">
        <v>78</v>
      </c>
      <c r="B80" s="7" t="s">
        <v>199</v>
      </c>
      <c r="C80" s="7" t="s">
        <v>336</v>
      </c>
      <c r="D80" s="8">
        <v>1.7000000000000001E-2</v>
      </c>
      <c r="H80" s="10" t="s">
        <v>333</v>
      </c>
      <c r="I80" s="11" t="s">
        <v>334</v>
      </c>
      <c r="J80" s="10" t="s">
        <v>337</v>
      </c>
      <c r="K80" s="11" t="s">
        <v>338</v>
      </c>
      <c r="L80" s="18">
        <f t="shared" si="2"/>
        <v>2.1000000000000001E-2</v>
      </c>
      <c r="M80" s="15" t="str">
        <f t="shared" si="3"/>
        <v>2</v>
      </c>
    </row>
    <row r="81" spans="1:13" ht="56.25" customHeight="1" x14ac:dyDescent="0.3">
      <c r="A81" s="5">
        <v>79</v>
      </c>
      <c r="B81" s="5" t="s">
        <v>339</v>
      </c>
      <c r="C81" s="5" t="s">
        <v>340</v>
      </c>
      <c r="D81" s="6">
        <v>1.7000000000000001E-2</v>
      </c>
      <c r="H81" s="10" t="s">
        <v>341</v>
      </c>
      <c r="I81" s="11" t="s">
        <v>342</v>
      </c>
      <c r="J81" s="10" t="s">
        <v>343</v>
      </c>
      <c r="K81" s="11" t="s">
        <v>344</v>
      </c>
      <c r="L81" s="18">
        <f t="shared" si="2"/>
        <v>0.63</v>
      </c>
      <c r="M81" s="15" t="str">
        <f t="shared" si="3"/>
        <v>2</v>
      </c>
    </row>
    <row r="82" spans="1:13" ht="56.25" customHeight="1" x14ac:dyDescent="0.3">
      <c r="A82" s="7">
        <v>80</v>
      </c>
      <c r="B82" s="7" t="s">
        <v>203</v>
      </c>
      <c r="C82" s="7" t="s">
        <v>345</v>
      </c>
      <c r="D82" s="8">
        <v>1.7999999999999999E-2</v>
      </c>
      <c r="H82" s="10" t="s">
        <v>341</v>
      </c>
      <c r="I82" s="11" t="s">
        <v>342</v>
      </c>
      <c r="J82" s="10" t="s">
        <v>259</v>
      </c>
      <c r="K82" s="11" t="s">
        <v>346</v>
      </c>
      <c r="L82" s="18">
        <f t="shared" si="2"/>
        <v>1.4E-2</v>
      </c>
      <c r="M82" s="15" t="str">
        <f t="shared" si="3"/>
        <v>2</v>
      </c>
    </row>
    <row r="83" spans="1:13" ht="56.25" customHeight="1" x14ac:dyDescent="0.3">
      <c r="A83" s="5">
        <v>81</v>
      </c>
      <c r="B83" s="5" t="s">
        <v>347</v>
      </c>
      <c r="C83" s="5" t="s">
        <v>348</v>
      </c>
      <c r="D83" s="6">
        <v>1.7999999999999999E-2</v>
      </c>
      <c r="H83" s="10" t="s">
        <v>349</v>
      </c>
      <c r="I83" s="11" t="s">
        <v>350</v>
      </c>
      <c r="J83" s="10" t="s">
        <v>351</v>
      </c>
      <c r="K83" s="11" t="s">
        <v>352</v>
      </c>
      <c r="L83" s="18">
        <f t="shared" si="2"/>
        <v>0.21</v>
      </c>
      <c r="M83" s="15" t="str">
        <f t="shared" si="3"/>
        <v>2</v>
      </c>
    </row>
    <row r="84" spans="1:13" ht="56.25" customHeight="1" x14ac:dyDescent="0.3">
      <c r="A84" s="7">
        <v>82</v>
      </c>
      <c r="B84" s="7" t="s">
        <v>353</v>
      </c>
      <c r="C84" s="7" t="s">
        <v>354</v>
      </c>
      <c r="D84" s="8">
        <v>1.7999999999999999E-2</v>
      </c>
      <c r="H84" s="10" t="s">
        <v>349</v>
      </c>
      <c r="I84" s="11" t="s">
        <v>350</v>
      </c>
      <c r="J84" s="10" t="s">
        <v>355</v>
      </c>
      <c r="K84" s="11" t="s">
        <v>356</v>
      </c>
      <c r="L84" s="18">
        <f t="shared" si="2"/>
        <v>4.7E-2</v>
      </c>
      <c r="M84" s="15" t="str">
        <f t="shared" si="3"/>
        <v>2</v>
      </c>
    </row>
    <row r="85" spans="1:13" ht="56.25" customHeight="1" x14ac:dyDescent="0.3">
      <c r="A85" s="5">
        <v>83</v>
      </c>
      <c r="B85" s="5" t="s">
        <v>357</v>
      </c>
      <c r="C85" s="5" t="s">
        <v>358</v>
      </c>
      <c r="D85" s="6">
        <v>1.7999999999999999E-2</v>
      </c>
      <c r="H85" s="10" t="s">
        <v>349</v>
      </c>
      <c r="I85" s="11" t="s">
        <v>350</v>
      </c>
      <c r="J85" s="10" t="s">
        <v>359</v>
      </c>
      <c r="K85" s="11" t="s">
        <v>360</v>
      </c>
      <c r="L85" s="18">
        <f t="shared" si="2"/>
        <v>3.5000000000000003E-2</v>
      </c>
      <c r="M85" s="15" t="str">
        <f t="shared" si="3"/>
        <v>2</v>
      </c>
    </row>
    <row r="86" spans="1:13" ht="56.25" customHeight="1" x14ac:dyDescent="0.3">
      <c r="A86" s="7">
        <v>84</v>
      </c>
      <c r="B86" s="7" t="s">
        <v>361</v>
      </c>
      <c r="C86" s="7" t="s">
        <v>362</v>
      </c>
      <c r="D86" s="8">
        <v>1.9E-2</v>
      </c>
      <c r="H86" s="10" t="s">
        <v>349</v>
      </c>
      <c r="I86" s="11" t="s">
        <v>350</v>
      </c>
      <c r="J86" s="10" t="s">
        <v>363</v>
      </c>
      <c r="K86" s="11" t="s">
        <v>364</v>
      </c>
      <c r="L86" s="18">
        <f t="shared" si="2"/>
        <v>0.22</v>
      </c>
      <c r="M86" s="15" t="str">
        <f t="shared" si="3"/>
        <v>2</v>
      </c>
    </row>
    <row r="87" spans="1:13" ht="56.25" customHeight="1" x14ac:dyDescent="0.3">
      <c r="A87" s="5">
        <v>85</v>
      </c>
      <c r="B87" s="5" t="s">
        <v>365</v>
      </c>
      <c r="C87" s="5" t="s">
        <v>366</v>
      </c>
      <c r="D87" s="6">
        <v>0.02</v>
      </c>
      <c r="H87" s="10" t="s">
        <v>349</v>
      </c>
      <c r="I87" s="11" t="s">
        <v>350</v>
      </c>
      <c r="J87" s="10" t="s">
        <v>367</v>
      </c>
      <c r="K87" s="11" t="s">
        <v>368</v>
      </c>
      <c r="L87" s="18">
        <f t="shared" si="2"/>
        <v>0.23</v>
      </c>
      <c r="M87" s="15" t="str">
        <f t="shared" si="3"/>
        <v>2</v>
      </c>
    </row>
    <row r="88" spans="1:13" ht="56.25" customHeight="1" x14ac:dyDescent="0.3">
      <c r="A88" s="7">
        <v>86</v>
      </c>
      <c r="B88" s="7" t="s">
        <v>369</v>
      </c>
      <c r="C88" s="7" t="s">
        <v>370</v>
      </c>
      <c r="D88" s="8">
        <v>2.1000000000000001E-2</v>
      </c>
      <c r="H88" s="10" t="s">
        <v>371</v>
      </c>
      <c r="I88" s="11" t="s">
        <v>372</v>
      </c>
      <c r="J88" s="10" t="s">
        <v>373</v>
      </c>
      <c r="K88" s="11" t="s">
        <v>374</v>
      </c>
      <c r="L88" s="18">
        <f t="shared" si="2"/>
        <v>6.0999999999999999E-2</v>
      </c>
      <c r="M88" s="15" t="str">
        <f t="shared" si="3"/>
        <v>2</v>
      </c>
    </row>
    <row r="89" spans="1:13" ht="56.25" customHeight="1" x14ac:dyDescent="0.3">
      <c r="A89" s="5">
        <v>87</v>
      </c>
      <c r="B89" s="5" t="s">
        <v>337</v>
      </c>
      <c r="C89" s="5" t="s">
        <v>375</v>
      </c>
      <c r="D89" s="6">
        <v>2.1000000000000001E-2</v>
      </c>
      <c r="H89" s="10" t="s">
        <v>371</v>
      </c>
      <c r="I89" s="11" t="s">
        <v>372</v>
      </c>
      <c r="J89" s="10" t="s">
        <v>376</v>
      </c>
      <c r="K89" s="11" t="s">
        <v>377</v>
      </c>
      <c r="L89" s="18">
        <f t="shared" si="2"/>
        <v>7.6999999999999999E-2</v>
      </c>
      <c r="M89" s="15" t="str">
        <f t="shared" si="3"/>
        <v>2</v>
      </c>
    </row>
    <row r="90" spans="1:13" ht="56.25" customHeight="1" x14ac:dyDescent="0.3">
      <c r="A90" s="7">
        <v>88</v>
      </c>
      <c r="B90" s="7" t="s">
        <v>378</v>
      </c>
      <c r="C90" s="7" t="s">
        <v>379</v>
      </c>
      <c r="D90" s="8">
        <v>2.1000000000000001E-2</v>
      </c>
      <c r="H90" s="10" t="s">
        <v>371</v>
      </c>
      <c r="I90" s="11" t="s">
        <v>372</v>
      </c>
      <c r="J90" s="10" t="s">
        <v>369</v>
      </c>
      <c r="K90" s="11" t="s">
        <v>380</v>
      </c>
      <c r="L90" s="18">
        <f t="shared" si="2"/>
        <v>2.1000000000000001E-2</v>
      </c>
      <c r="M90" s="15" t="str">
        <f t="shared" si="3"/>
        <v>2</v>
      </c>
    </row>
    <row r="91" spans="1:13" ht="56.25" customHeight="1" x14ac:dyDescent="0.3">
      <c r="A91" s="5">
        <v>89</v>
      </c>
      <c r="B91" s="5" t="s">
        <v>381</v>
      </c>
      <c r="C91" s="5" t="s">
        <v>382</v>
      </c>
      <c r="D91" s="6">
        <v>2.1000000000000001E-2</v>
      </c>
      <c r="H91" s="10" t="s">
        <v>371</v>
      </c>
      <c r="I91" s="11" t="s">
        <v>372</v>
      </c>
      <c r="J91" s="10" t="s">
        <v>383</v>
      </c>
      <c r="K91" s="11" t="s">
        <v>384</v>
      </c>
      <c r="L91" s="18">
        <f t="shared" si="2"/>
        <v>2.7E-2</v>
      </c>
      <c r="M91" s="15" t="str">
        <f t="shared" si="3"/>
        <v>2</v>
      </c>
    </row>
    <row r="92" spans="1:13" ht="56.25" customHeight="1" x14ac:dyDescent="0.3">
      <c r="A92" s="7">
        <v>90</v>
      </c>
      <c r="B92" s="7" t="s">
        <v>385</v>
      </c>
      <c r="C92" s="7" t="s">
        <v>386</v>
      </c>
      <c r="D92" s="8">
        <v>2.1000000000000001E-2</v>
      </c>
      <c r="H92" s="10" t="s">
        <v>371</v>
      </c>
      <c r="I92" s="11" t="s">
        <v>372</v>
      </c>
      <c r="J92" s="10" t="s">
        <v>243</v>
      </c>
      <c r="K92" s="11" t="s">
        <v>244</v>
      </c>
      <c r="L92" s="18">
        <f t="shared" si="2"/>
        <v>1.2E-2</v>
      </c>
      <c r="M92" s="15" t="str">
        <f t="shared" si="3"/>
        <v>2</v>
      </c>
    </row>
    <row r="93" spans="1:13" ht="56.25" customHeight="1" x14ac:dyDescent="0.3">
      <c r="A93" s="5">
        <v>91</v>
      </c>
      <c r="B93" s="5" t="s">
        <v>387</v>
      </c>
      <c r="C93" s="5" t="s">
        <v>388</v>
      </c>
      <c r="D93" s="6">
        <v>2.1000000000000001E-2</v>
      </c>
      <c r="H93" s="10" t="s">
        <v>371</v>
      </c>
      <c r="I93" s="11" t="s">
        <v>372</v>
      </c>
      <c r="J93" s="10" t="s">
        <v>389</v>
      </c>
      <c r="K93" s="11" t="s">
        <v>390</v>
      </c>
      <c r="L93" s="18">
        <f t="shared" si="2"/>
        <v>0.3</v>
      </c>
      <c r="M93" s="15" t="str">
        <f t="shared" si="3"/>
        <v>2</v>
      </c>
    </row>
    <row r="94" spans="1:13" ht="56.25" customHeight="1" x14ac:dyDescent="0.3">
      <c r="A94" s="7">
        <v>92</v>
      </c>
      <c r="B94" s="7" t="s">
        <v>391</v>
      </c>
      <c r="C94" s="7" t="s">
        <v>392</v>
      </c>
      <c r="D94" s="8">
        <v>2.1999999999999999E-2</v>
      </c>
      <c r="H94" s="10" t="s">
        <v>371</v>
      </c>
      <c r="I94" s="11" t="s">
        <v>372</v>
      </c>
      <c r="J94" s="10" t="s">
        <v>281</v>
      </c>
      <c r="K94" s="11" t="s">
        <v>393</v>
      </c>
      <c r="L94" s="18">
        <f t="shared" si="2"/>
        <v>1.4999999999999999E-2</v>
      </c>
      <c r="M94" s="15" t="str">
        <f t="shared" si="3"/>
        <v>2</v>
      </c>
    </row>
    <row r="95" spans="1:13" ht="56.25" customHeight="1" x14ac:dyDescent="0.3">
      <c r="A95" s="5">
        <v>93</v>
      </c>
      <c r="B95" s="5" t="s">
        <v>394</v>
      </c>
      <c r="C95" s="5" t="s">
        <v>395</v>
      </c>
      <c r="D95" s="6">
        <v>2.1999999999999999E-2</v>
      </c>
      <c r="H95" s="10" t="s">
        <v>371</v>
      </c>
      <c r="I95" s="11" t="s">
        <v>372</v>
      </c>
      <c r="J95" s="10" t="s">
        <v>396</v>
      </c>
      <c r="K95" s="11" t="s">
        <v>397</v>
      </c>
      <c r="L95" s="18">
        <f t="shared" si="2"/>
        <v>0.2</v>
      </c>
      <c r="M95" s="15" t="str">
        <f t="shared" si="3"/>
        <v>2</v>
      </c>
    </row>
    <row r="96" spans="1:13" ht="56.25" customHeight="1" x14ac:dyDescent="0.3">
      <c r="A96" s="7">
        <v>94</v>
      </c>
      <c r="B96" s="7" t="s">
        <v>398</v>
      </c>
      <c r="C96" s="7" t="s">
        <v>399</v>
      </c>
      <c r="D96" s="8">
        <v>2.3E-2</v>
      </c>
      <c r="H96" s="10" t="s">
        <v>371</v>
      </c>
      <c r="I96" s="11" t="s">
        <v>372</v>
      </c>
      <c r="J96" s="10" t="s">
        <v>91</v>
      </c>
      <c r="K96" s="11" t="s">
        <v>400</v>
      </c>
      <c r="L96" s="18">
        <f t="shared" si="2"/>
        <v>4.4999999999999997E-3</v>
      </c>
      <c r="M96" s="15" t="str">
        <f t="shared" si="3"/>
        <v>2</v>
      </c>
    </row>
    <row r="97" spans="1:13" ht="56.25" customHeight="1" x14ac:dyDescent="0.3">
      <c r="A97" s="5">
        <v>95</v>
      </c>
      <c r="B97" s="5" t="s">
        <v>401</v>
      </c>
      <c r="C97" s="5" t="s">
        <v>402</v>
      </c>
      <c r="D97" s="6">
        <v>2.3E-2</v>
      </c>
      <c r="H97" s="10" t="s">
        <v>371</v>
      </c>
      <c r="I97" s="11" t="s">
        <v>372</v>
      </c>
      <c r="J97" s="10" t="s">
        <v>403</v>
      </c>
      <c r="K97" s="11" t="s">
        <v>404</v>
      </c>
      <c r="L97" s="18" t="str">
        <f t="shared" si="2"/>
        <v/>
      </c>
      <c r="M97" s="15" t="str">
        <f t="shared" si="3"/>
        <v>2</v>
      </c>
    </row>
    <row r="98" spans="1:13" ht="56.25" customHeight="1" x14ac:dyDescent="0.3">
      <c r="A98" s="7">
        <v>96</v>
      </c>
      <c r="B98" s="7" t="s">
        <v>405</v>
      </c>
      <c r="C98" s="7" t="s">
        <v>406</v>
      </c>
      <c r="D98" s="8">
        <v>2.5000000000000001E-2</v>
      </c>
      <c r="H98" s="10" t="s">
        <v>407</v>
      </c>
      <c r="I98" s="11" t="s">
        <v>408</v>
      </c>
      <c r="J98" s="10" t="s">
        <v>369</v>
      </c>
      <c r="K98" s="11" t="s">
        <v>380</v>
      </c>
      <c r="L98" s="18">
        <f t="shared" si="2"/>
        <v>2.1000000000000001E-2</v>
      </c>
      <c r="M98" s="15" t="str">
        <f t="shared" si="3"/>
        <v>2</v>
      </c>
    </row>
    <row r="99" spans="1:13" ht="56.25" customHeight="1" x14ac:dyDescent="0.3">
      <c r="A99" s="5">
        <v>97</v>
      </c>
      <c r="B99" s="5" t="s">
        <v>409</v>
      </c>
      <c r="C99" s="5" t="s">
        <v>410</v>
      </c>
      <c r="D99" s="6">
        <v>2.5000000000000001E-2</v>
      </c>
      <c r="H99" s="10" t="s">
        <v>407</v>
      </c>
      <c r="I99" s="11" t="s">
        <v>408</v>
      </c>
      <c r="J99" s="10" t="s">
        <v>177</v>
      </c>
      <c r="K99" s="11" t="s">
        <v>178</v>
      </c>
      <c r="L99" s="18">
        <f t="shared" si="2"/>
        <v>8.0999999999999996E-3</v>
      </c>
      <c r="M99" s="15" t="str">
        <f t="shared" si="3"/>
        <v>2</v>
      </c>
    </row>
    <row r="100" spans="1:13" ht="56.25" customHeight="1" x14ac:dyDescent="0.3">
      <c r="A100" s="7">
        <v>98</v>
      </c>
      <c r="B100" s="7" t="s">
        <v>411</v>
      </c>
      <c r="C100" s="7" t="s">
        <v>412</v>
      </c>
      <c r="D100" s="8">
        <v>2.5000000000000001E-2</v>
      </c>
      <c r="H100" s="11" t="s">
        <v>407</v>
      </c>
      <c r="I100" s="11" t="s">
        <v>408</v>
      </c>
      <c r="J100" s="11" t="s">
        <v>159</v>
      </c>
      <c r="K100" s="11" t="s">
        <v>413</v>
      </c>
      <c r="L100" s="18">
        <f t="shared" si="2"/>
        <v>7.4999999999999997E-3</v>
      </c>
      <c r="M100" s="15" t="str">
        <f t="shared" si="3"/>
        <v>2</v>
      </c>
    </row>
    <row r="101" spans="1:13" ht="56.25" customHeight="1" x14ac:dyDescent="0.3">
      <c r="A101" s="5">
        <v>99</v>
      </c>
      <c r="B101" s="5" t="s">
        <v>383</v>
      </c>
      <c r="C101" s="5" t="s">
        <v>414</v>
      </c>
      <c r="D101" s="6">
        <v>2.7E-2</v>
      </c>
      <c r="H101" s="10" t="s">
        <v>415</v>
      </c>
      <c r="I101" s="11" t="s">
        <v>416</v>
      </c>
      <c r="J101" s="10" t="s">
        <v>321</v>
      </c>
      <c r="K101" s="11" t="s">
        <v>417</v>
      </c>
      <c r="L101" s="18">
        <f t="shared" si="2"/>
        <v>1.6E-2</v>
      </c>
      <c r="M101" s="15" t="str">
        <f t="shared" si="3"/>
        <v>2</v>
      </c>
    </row>
    <row r="102" spans="1:13" ht="56.25" customHeight="1" x14ac:dyDescent="0.3">
      <c r="A102" s="7">
        <v>100</v>
      </c>
      <c r="B102" s="7" t="s">
        <v>418</v>
      </c>
      <c r="C102" s="7" t="s">
        <v>419</v>
      </c>
      <c r="D102" s="8">
        <v>2.7E-2</v>
      </c>
      <c r="H102" s="10" t="s">
        <v>415</v>
      </c>
      <c r="I102" s="11" t="s">
        <v>416</v>
      </c>
      <c r="J102" s="10" t="s">
        <v>420</v>
      </c>
      <c r="K102" s="11" t="s">
        <v>421</v>
      </c>
      <c r="L102" s="18">
        <f t="shared" si="2"/>
        <v>3.3000000000000002E-2</v>
      </c>
      <c r="M102" s="15" t="str">
        <f t="shared" si="3"/>
        <v>2</v>
      </c>
    </row>
    <row r="103" spans="1:13" ht="56.25" customHeight="1" x14ac:dyDescent="0.3">
      <c r="A103" s="5">
        <v>101</v>
      </c>
      <c r="B103" s="5" t="s">
        <v>422</v>
      </c>
      <c r="C103" s="5" t="s">
        <v>423</v>
      </c>
      <c r="D103" s="6">
        <v>2.8000000000000001E-2</v>
      </c>
      <c r="H103" s="10" t="s">
        <v>424</v>
      </c>
      <c r="I103" s="11" t="s">
        <v>425</v>
      </c>
      <c r="J103" s="10" t="s">
        <v>426</v>
      </c>
      <c r="K103" s="11" t="s">
        <v>427</v>
      </c>
      <c r="L103" s="18">
        <f t="shared" si="2"/>
        <v>2.9000000000000001E-2</v>
      </c>
      <c r="M103" s="15" t="str">
        <f t="shared" si="3"/>
        <v>2</v>
      </c>
    </row>
    <row r="104" spans="1:13" ht="56.25" customHeight="1" x14ac:dyDescent="0.3">
      <c r="A104" s="7">
        <v>102</v>
      </c>
      <c r="B104" s="7" t="s">
        <v>428</v>
      </c>
      <c r="C104" s="7" t="s">
        <v>429</v>
      </c>
      <c r="D104" s="8">
        <v>2.8000000000000001E-2</v>
      </c>
      <c r="H104" s="10" t="s">
        <v>430</v>
      </c>
      <c r="I104" s="11" t="s">
        <v>362</v>
      </c>
      <c r="J104" s="10" t="s">
        <v>361</v>
      </c>
      <c r="K104" s="11" t="s">
        <v>431</v>
      </c>
      <c r="L104" s="18">
        <f t="shared" si="2"/>
        <v>1.9E-2</v>
      </c>
      <c r="M104" s="15" t="str">
        <f t="shared" si="3"/>
        <v>2</v>
      </c>
    </row>
    <row r="105" spans="1:13" ht="56.25" customHeight="1" x14ac:dyDescent="0.3">
      <c r="A105" s="5">
        <v>103</v>
      </c>
      <c r="B105" s="5" t="s">
        <v>432</v>
      </c>
      <c r="C105" s="5" t="s">
        <v>433</v>
      </c>
      <c r="D105" s="6">
        <v>2.8000000000000001E-2</v>
      </c>
      <c r="H105" s="10" t="s">
        <v>434</v>
      </c>
      <c r="I105" s="11" t="s">
        <v>348</v>
      </c>
      <c r="J105" s="10" t="s">
        <v>347</v>
      </c>
      <c r="K105" s="11" t="s">
        <v>435</v>
      </c>
      <c r="L105" s="18">
        <f t="shared" si="2"/>
        <v>1.7999999999999999E-2</v>
      </c>
      <c r="M105" s="15" t="str">
        <f t="shared" si="3"/>
        <v>2</v>
      </c>
    </row>
    <row r="106" spans="1:13" ht="56.25" customHeight="1" x14ac:dyDescent="0.3">
      <c r="A106" s="7">
        <v>104</v>
      </c>
      <c r="B106" s="7" t="s">
        <v>426</v>
      </c>
      <c r="C106" s="7" t="s">
        <v>436</v>
      </c>
      <c r="D106" s="8">
        <v>2.9000000000000001E-2</v>
      </c>
      <c r="H106" s="10" t="s">
        <v>437</v>
      </c>
      <c r="I106" s="11" t="s">
        <v>226</v>
      </c>
      <c r="J106" s="10" t="s">
        <v>339</v>
      </c>
      <c r="K106" s="11" t="s">
        <v>438</v>
      </c>
      <c r="L106" s="18">
        <f t="shared" si="2"/>
        <v>1.7000000000000001E-2</v>
      </c>
      <c r="M106" s="15" t="str">
        <f t="shared" si="3"/>
        <v>2</v>
      </c>
    </row>
    <row r="107" spans="1:13" ht="56.25" customHeight="1" x14ac:dyDescent="0.3">
      <c r="A107" s="5">
        <v>105</v>
      </c>
      <c r="B107" s="5" t="s">
        <v>439</v>
      </c>
      <c r="C107" s="5" t="s">
        <v>440</v>
      </c>
      <c r="D107" s="6">
        <v>2.9000000000000001E-2</v>
      </c>
      <c r="H107" s="11" t="s">
        <v>437</v>
      </c>
      <c r="I107" s="11" t="s">
        <v>226</v>
      </c>
      <c r="J107" s="11" t="s">
        <v>441</v>
      </c>
      <c r="K107" s="11" t="s">
        <v>442</v>
      </c>
      <c r="L107" s="18">
        <f t="shared" si="2"/>
        <v>0.49</v>
      </c>
      <c r="M107" s="15" t="str">
        <f t="shared" si="3"/>
        <v>2</v>
      </c>
    </row>
    <row r="108" spans="1:13" ht="56.25" customHeight="1" x14ac:dyDescent="0.3">
      <c r="A108" s="7">
        <v>106</v>
      </c>
      <c r="B108" s="7" t="s">
        <v>443</v>
      </c>
      <c r="C108" s="7" t="s">
        <v>444</v>
      </c>
      <c r="D108" s="8">
        <v>2.9000000000000001E-2</v>
      </c>
      <c r="H108" s="10" t="s">
        <v>437</v>
      </c>
      <c r="I108" s="11" t="s">
        <v>226</v>
      </c>
      <c r="J108" s="10" t="s">
        <v>215</v>
      </c>
      <c r="K108" s="11" t="s">
        <v>445</v>
      </c>
      <c r="L108" s="18">
        <f t="shared" si="2"/>
        <v>0.01</v>
      </c>
      <c r="M108" s="15" t="str">
        <f t="shared" si="3"/>
        <v>2</v>
      </c>
    </row>
    <row r="109" spans="1:13" ht="56.25" customHeight="1" x14ac:dyDescent="0.3">
      <c r="A109" s="5">
        <v>107</v>
      </c>
      <c r="B109" s="5" t="s">
        <v>219</v>
      </c>
      <c r="C109" s="5" t="s">
        <v>446</v>
      </c>
      <c r="D109" s="6">
        <v>0.03</v>
      </c>
      <c r="H109" s="10" t="s">
        <v>437</v>
      </c>
      <c r="I109" s="11" t="s">
        <v>226</v>
      </c>
      <c r="J109" s="10" t="s">
        <v>225</v>
      </c>
      <c r="K109" s="11" t="s">
        <v>447</v>
      </c>
      <c r="L109" s="18">
        <f t="shared" si="2"/>
        <v>1.0999999999999999E-2</v>
      </c>
      <c r="M109" s="15" t="str">
        <f t="shared" si="3"/>
        <v>2</v>
      </c>
    </row>
    <row r="110" spans="1:13" ht="56.25" customHeight="1" x14ac:dyDescent="0.3">
      <c r="A110" s="7">
        <v>108</v>
      </c>
      <c r="B110" s="7" t="s">
        <v>448</v>
      </c>
      <c r="C110" s="7" t="s">
        <v>449</v>
      </c>
      <c r="D110" s="8">
        <v>0.03</v>
      </c>
      <c r="H110" s="10" t="s">
        <v>450</v>
      </c>
      <c r="I110" s="11" t="s">
        <v>332</v>
      </c>
      <c r="J110" s="10" t="s">
        <v>331</v>
      </c>
      <c r="K110" s="11" t="s">
        <v>451</v>
      </c>
      <c r="L110" s="18">
        <f t="shared" si="2"/>
        <v>1.7000000000000001E-2</v>
      </c>
      <c r="M110" s="15" t="str">
        <f t="shared" si="3"/>
        <v>2</v>
      </c>
    </row>
    <row r="111" spans="1:13" ht="56.25" customHeight="1" x14ac:dyDescent="0.3">
      <c r="A111" s="5">
        <v>109</v>
      </c>
      <c r="B111" s="5" t="s">
        <v>452</v>
      </c>
      <c r="C111" s="5" t="s">
        <v>453</v>
      </c>
      <c r="D111" s="6">
        <v>0.03</v>
      </c>
      <c r="H111" s="10" t="s">
        <v>454</v>
      </c>
      <c r="I111" s="11" t="s">
        <v>455</v>
      </c>
      <c r="J111" s="10" t="s">
        <v>378</v>
      </c>
      <c r="K111" s="11" t="s">
        <v>456</v>
      </c>
      <c r="L111" s="18">
        <f t="shared" si="2"/>
        <v>2.1000000000000001E-2</v>
      </c>
      <c r="M111" s="15" t="str">
        <f t="shared" si="3"/>
        <v>2</v>
      </c>
    </row>
    <row r="112" spans="1:13" ht="56.25" customHeight="1" x14ac:dyDescent="0.3">
      <c r="A112" s="7">
        <v>110</v>
      </c>
      <c r="B112" s="7" t="s">
        <v>457</v>
      </c>
      <c r="C112" s="7" t="s">
        <v>458</v>
      </c>
      <c r="D112" s="8">
        <v>0.03</v>
      </c>
      <c r="H112" s="10" t="s">
        <v>454</v>
      </c>
      <c r="I112" s="11" t="s">
        <v>455</v>
      </c>
      <c r="J112" s="10" t="s">
        <v>459</v>
      </c>
      <c r="K112" s="11" t="s">
        <v>460</v>
      </c>
      <c r="L112" s="18">
        <f t="shared" si="2"/>
        <v>0.14000000000000001</v>
      </c>
      <c r="M112" s="15" t="str">
        <f t="shared" si="3"/>
        <v>2</v>
      </c>
    </row>
    <row r="113" spans="1:13" ht="56.25" customHeight="1" x14ac:dyDescent="0.3">
      <c r="A113" s="5">
        <v>111</v>
      </c>
      <c r="B113" s="5" t="s">
        <v>165</v>
      </c>
      <c r="C113" s="5" t="s">
        <v>461</v>
      </c>
      <c r="D113" s="6">
        <v>0.03</v>
      </c>
      <c r="H113" s="10" t="s">
        <v>454</v>
      </c>
      <c r="I113" s="11" t="s">
        <v>455</v>
      </c>
      <c r="J113" s="10" t="s">
        <v>462</v>
      </c>
      <c r="K113" s="11" t="s">
        <v>463</v>
      </c>
      <c r="L113" s="18">
        <f t="shared" si="2"/>
        <v>0.16</v>
      </c>
      <c r="M113" s="15" t="str">
        <f t="shared" si="3"/>
        <v>2</v>
      </c>
    </row>
    <row r="114" spans="1:13" ht="56.25" customHeight="1" x14ac:dyDescent="0.3">
      <c r="A114" s="7">
        <v>112</v>
      </c>
      <c r="B114" s="7" t="s">
        <v>464</v>
      </c>
      <c r="C114" s="7" t="s">
        <v>465</v>
      </c>
      <c r="D114" s="8">
        <v>3.2000000000000001E-2</v>
      </c>
      <c r="H114" s="10" t="s">
        <v>454</v>
      </c>
      <c r="I114" s="11" t="s">
        <v>455</v>
      </c>
      <c r="J114" s="10" t="s">
        <v>337</v>
      </c>
      <c r="K114" s="11" t="s">
        <v>338</v>
      </c>
      <c r="L114" s="18">
        <f t="shared" si="2"/>
        <v>2.1000000000000001E-2</v>
      </c>
      <c r="M114" s="15" t="str">
        <f t="shared" si="3"/>
        <v>2</v>
      </c>
    </row>
    <row r="115" spans="1:13" ht="56.25" customHeight="1" x14ac:dyDescent="0.3">
      <c r="A115" s="5">
        <v>113</v>
      </c>
      <c r="B115" s="5" t="s">
        <v>420</v>
      </c>
      <c r="C115" s="5" t="s">
        <v>466</v>
      </c>
      <c r="D115" s="6">
        <v>3.3000000000000002E-2</v>
      </c>
      <c r="H115" s="10" t="s">
        <v>467</v>
      </c>
      <c r="I115" s="11" t="s">
        <v>468</v>
      </c>
      <c r="J115" s="10" t="s">
        <v>469</v>
      </c>
      <c r="K115" s="11" t="s">
        <v>470</v>
      </c>
      <c r="L115" s="18">
        <f t="shared" si="2"/>
        <v>3.6999999999999998E-2</v>
      </c>
      <c r="M115" s="15" t="str">
        <f t="shared" si="3"/>
        <v>2</v>
      </c>
    </row>
    <row r="116" spans="1:13" ht="56.25" customHeight="1" x14ac:dyDescent="0.3">
      <c r="A116" s="7">
        <v>114</v>
      </c>
      <c r="B116" s="7" t="s">
        <v>471</v>
      </c>
      <c r="C116" s="7" t="s">
        <v>472</v>
      </c>
      <c r="D116" s="8">
        <v>3.3000000000000002E-2</v>
      </c>
      <c r="H116" s="10" t="s">
        <v>467</v>
      </c>
      <c r="I116" s="11" t="s">
        <v>468</v>
      </c>
      <c r="J116" s="10" t="s">
        <v>432</v>
      </c>
      <c r="K116" s="11" t="s">
        <v>473</v>
      </c>
      <c r="L116" s="18">
        <f t="shared" si="2"/>
        <v>2.8000000000000001E-2</v>
      </c>
      <c r="M116" s="15" t="str">
        <f t="shared" si="3"/>
        <v>2</v>
      </c>
    </row>
    <row r="117" spans="1:13" ht="56.25" customHeight="1" x14ac:dyDescent="0.3">
      <c r="A117" s="5">
        <v>115</v>
      </c>
      <c r="B117" s="5" t="s">
        <v>474</v>
      </c>
      <c r="C117" s="5" t="s">
        <v>475</v>
      </c>
      <c r="D117" s="6">
        <v>3.5000000000000003E-2</v>
      </c>
      <c r="H117" s="11" t="s">
        <v>467</v>
      </c>
      <c r="I117" s="11" t="s">
        <v>468</v>
      </c>
      <c r="J117" s="11" t="s">
        <v>378</v>
      </c>
      <c r="K117" s="11" t="s">
        <v>456</v>
      </c>
      <c r="L117" s="18">
        <f t="shared" si="2"/>
        <v>2.1000000000000001E-2</v>
      </c>
      <c r="M117" s="15" t="str">
        <f t="shared" si="3"/>
        <v>2</v>
      </c>
    </row>
    <row r="118" spans="1:13" ht="56.25" customHeight="1" x14ac:dyDescent="0.3">
      <c r="A118" s="7">
        <v>116</v>
      </c>
      <c r="B118" s="7" t="s">
        <v>476</v>
      </c>
      <c r="C118" s="7" t="s">
        <v>477</v>
      </c>
      <c r="D118" s="8">
        <v>3.5000000000000003E-2</v>
      </c>
      <c r="H118" s="10" t="s">
        <v>467</v>
      </c>
      <c r="I118" s="11" t="s">
        <v>468</v>
      </c>
      <c r="J118" s="10" t="s">
        <v>478</v>
      </c>
      <c r="K118" s="11" t="s">
        <v>479</v>
      </c>
      <c r="L118" s="18">
        <f t="shared" si="2"/>
        <v>7.0000000000000007E-2</v>
      </c>
      <c r="M118" s="15" t="str">
        <f t="shared" si="3"/>
        <v>2</v>
      </c>
    </row>
    <row r="119" spans="1:13" ht="56.25" customHeight="1" x14ac:dyDescent="0.3">
      <c r="A119" s="5">
        <v>117</v>
      </c>
      <c r="B119" s="5" t="s">
        <v>359</v>
      </c>
      <c r="C119" s="5" t="s">
        <v>480</v>
      </c>
      <c r="D119" s="6">
        <v>3.5000000000000003E-2</v>
      </c>
      <c r="H119" s="10" t="s">
        <v>467</v>
      </c>
      <c r="I119" s="11" t="s">
        <v>468</v>
      </c>
      <c r="J119" s="10" t="s">
        <v>271</v>
      </c>
      <c r="K119" s="11" t="s">
        <v>481</v>
      </c>
      <c r="L119" s="18">
        <f t="shared" si="2"/>
        <v>1.4E-2</v>
      </c>
      <c r="M119" s="15" t="str">
        <f t="shared" si="3"/>
        <v>2</v>
      </c>
    </row>
    <row r="120" spans="1:13" ht="56.25" customHeight="1" x14ac:dyDescent="0.3">
      <c r="A120" s="7">
        <v>118</v>
      </c>
      <c r="B120" s="7" t="s">
        <v>241</v>
      </c>
      <c r="C120" s="7" t="s">
        <v>482</v>
      </c>
      <c r="D120" s="8">
        <v>3.5000000000000003E-2</v>
      </c>
      <c r="H120" s="10" t="s">
        <v>483</v>
      </c>
      <c r="I120" s="11" t="s">
        <v>484</v>
      </c>
      <c r="J120" s="10" t="s">
        <v>485</v>
      </c>
      <c r="K120" s="11" t="s">
        <v>486</v>
      </c>
      <c r="L120" s="18">
        <f t="shared" si="2"/>
        <v>0.1</v>
      </c>
      <c r="M120" s="15" t="str">
        <f t="shared" si="3"/>
        <v>2</v>
      </c>
    </row>
    <row r="121" spans="1:13" ht="56.25" customHeight="1" x14ac:dyDescent="0.3">
      <c r="A121" s="5">
        <v>119</v>
      </c>
      <c r="B121" s="5" t="s">
        <v>487</v>
      </c>
      <c r="C121" s="5" t="s">
        <v>488</v>
      </c>
      <c r="D121" s="6">
        <v>3.6999999999999998E-2</v>
      </c>
      <c r="H121" s="10" t="s">
        <v>489</v>
      </c>
      <c r="I121" s="11" t="s">
        <v>490</v>
      </c>
      <c r="J121" s="10" t="s">
        <v>491</v>
      </c>
      <c r="K121" s="11" t="s">
        <v>492</v>
      </c>
      <c r="L121" s="18">
        <f t="shared" si="2"/>
        <v>0.22</v>
      </c>
      <c r="M121" s="15" t="str">
        <f t="shared" si="3"/>
        <v>2</v>
      </c>
    </row>
    <row r="122" spans="1:13" ht="56.25" customHeight="1" x14ac:dyDescent="0.3">
      <c r="A122" s="7">
        <v>120</v>
      </c>
      <c r="B122" s="7" t="s">
        <v>469</v>
      </c>
      <c r="C122" s="7" t="s">
        <v>493</v>
      </c>
      <c r="D122" s="8">
        <v>3.6999999999999998E-2</v>
      </c>
      <c r="H122" s="10" t="s">
        <v>489</v>
      </c>
      <c r="I122" s="11" t="s">
        <v>490</v>
      </c>
      <c r="J122" s="10" t="s">
        <v>411</v>
      </c>
      <c r="K122" s="11" t="s">
        <v>494</v>
      </c>
      <c r="L122" s="18">
        <f t="shared" si="2"/>
        <v>2.5000000000000001E-2</v>
      </c>
      <c r="M122" s="15" t="str">
        <f t="shared" si="3"/>
        <v>2</v>
      </c>
    </row>
    <row r="123" spans="1:13" ht="56.25" customHeight="1" x14ac:dyDescent="0.3">
      <c r="A123" s="5">
        <v>121</v>
      </c>
      <c r="B123" s="5" t="s">
        <v>495</v>
      </c>
      <c r="C123" s="5" t="s">
        <v>496</v>
      </c>
      <c r="D123" s="6">
        <v>3.6999999999999998E-2</v>
      </c>
      <c r="H123" s="10" t="s">
        <v>497</v>
      </c>
      <c r="I123" s="11" t="s">
        <v>498</v>
      </c>
      <c r="J123" s="10" t="s">
        <v>411</v>
      </c>
      <c r="K123" s="11" t="s">
        <v>494</v>
      </c>
      <c r="L123" s="18">
        <f t="shared" si="2"/>
        <v>2.5000000000000001E-2</v>
      </c>
      <c r="M123" s="15" t="str">
        <f t="shared" si="3"/>
        <v>2</v>
      </c>
    </row>
    <row r="124" spans="1:13" ht="56.25" customHeight="1" x14ac:dyDescent="0.3">
      <c r="A124" s="7">
        <v>122</v>
      </c>
      <c r="B124" s="7" t="s">
        <v>499</v>
      </c>
      <c r="C124" s="7" t="s">
        <v>500</v>
      </c>
      <c r="D124" s="8">
        <v>3.7999999999999999E-2</v>
      </c>
      <c r="H124" s="10" t="s">
        <v>501</v>
      </c>
      <c r="I124" s="11" t="s">
        <v>502</v>
      </c>
      <c r="J124" s="10" t="s">
        <v>353</v>
      </c>
      <c r="K124" s="11" t="s">
        <v>503</v>
      </c>
      <c r="L124" s="18">
        <f t="shared" si="2"/>
        <v>1.7999999999999999E-2</v>
      </c>
      <c r="M124" s="15" t="str">
        <f t="shared" si="3"/>
        <v>2</v>
      </c>
    </row>
    <row r="125" spans="1:13" ht="56.25" customHeight="1" x14ac:dyDescent="0.3">
      <c r="A125" s="5">
        <v>123</v>
      </c>
      <c r="B125" s="5" t="s">
        <v>504</v>
      </c>
      <c r="C125" s="5" t="s">
        <v>505</v>
      </c>
      <c r="D125" s="6">
        <v>3.7999999999999999E-2</v>
      </c>
      <c r="H125" s="10" t="s">
        <v>506</v>
      </c>
      <c r="I125" s="11" t="s">
        <v>507</v>
      </c>
      <c r="J125" s="10" t="s">
        <v>508</v>
      </c>
      <c r="K125" s="11" t="s">
        <v>509</v>
      </c>
      <c r="L125" s="18">
        <f t="shared" si="2"/>
        <v>4.4999999999999998E-2</v>
      </c>
      <c r="M125" s="15" t="str">
        <f t="shared" si="3"/>
        <v>2</v>
      </c>
    </row>
    <row r="126" spans="1:13" ht="56.25" customHeight="1" x14ac:dyDescent="0.3">
      <c r="A126" s="7">
        <v>124</v>
      </c>
      <c r="B126" s="7" t="s">
        <v>191</v>
      </c>
      <c r="C126" s="7" t="s">
        <v>510</v>
      </c>
      <c r="D126" s="8">
        <v>3.9E-2</v>
      </c>
      <c r="H126" s="10" t="s">
        <v>511</v>
      </c>
      <c r="I126" s="11" t="s">
        <v>512</v>
      </c>
      <c r="J126" s="10" t="s">
        <v>487</v>
      </c>
      <c r="K126" s="11" t="s">
        <v>513</v>
      </c>
      <c r="L126" s="18">
        <f t="shared" si="2"/>
        <v>3.6999999999999998E-2</v>
      </c>
      <c r="M126" s="15" t="str">
        <f t="shared" si="3"/>
        <v>2</v>
      </c>
    </row>
    <row r="127" spans="1:13" ht="56.25" customHeight="1" x14ac:dyDescent="0.3">
      <c r="A127" s="5">
        <v>125</v>
      </c>
      <c r="B127" s="5" t="s">
        <v>514</v>
      </c>
      <c r="C127" s="5" t="s">
        <v>515</v>
      </c>
      <c r="D127" s="6">
        <v>3.9E-2</v>
      </c>
      <c r="H127" s="10" t="s">
        <v>511</v>
      </c>
      <c r="I127" s="11" t="s">
        <v>512</v>
      </c>
      <c r="J127" s="10" t="s">
        <v>381</v>
      </c>
      <c r="K127" s="11" t="s">
        <v>516</v>
      </c>
      <c r="L127" s="18">
        <f t="shared" si="2"/>
        <v>2.1000000000000001E-2</v>
      </c>
      <c r="M127" s="15" t="str">
        <f t="shared" si="3"/>
        <v>2</v>
      </c>
    </row>
    <row r="128" spans="1:13" ht="56.25" customHeight="1" x14ac:dyDescent="0.3">
      <c r="A128" s="7">
        <v>126</v>
      </c>
      <c r="B128" s="7" t="s">
        <v>517</v>
      </c>
      <c r="C128" s="7" t="s">
        <v>518</v>
      </c>
      <c r="D128" s="8">
        <v>0.04</v>
      </c>
      <c r="H128" s="10" t="s">
        <v>511</v>
      </c>
      <c r="I128" s="11" t="s">
        <v>512</v>
      </c>
      <c r="J128" s="10" t="s">
        <v>519</v>
      </c>
      <c r="K128" s="11" t="s">
        <v>520</v>
      </c>
      <c r="L128" s="18" t="str">
        <f t="shared" si="2"/>
        <v/>
      </c>
      <c r="M128" s="15" t="str">
        <f t="shared" si="3"/>
        <v>2</v>
      </c>
    </row>
    <row r="129" spans="1:13" ht="56.25" customHeight="1" x14ac:dyDescent="0.3">
      <c r="A129" s="5">
        <v>127</v>
      </c>
      <c r="B129" s="5" t="s">
        <v>521</v>
      </c>
      <c r="C129" s="5" t="s">
        <v>522</v>
      </c>
      <c r="D129" s="6">
        <v>0.04</v>
      </c>
      <c r="H129" s="10" t="s">
        <v>523</v>
      </c>
      <c r="I129" s="11" t="s">
        <v>524</v>
      </c>
      <c r="J129" s="10" t="s">
        <v>525</v>
      </c>
      <c r="K129" s="11" t="s">
        <v>526</v>
      </c>
      <c r="L129" s="18">
        <f t="shared" si="2"/>
        <v>0.13</v>
      </c>
      <c r="M129" s="15" t="str">
        <f t="shared" si="3"/>
        <v>2</v>
      </c>
    </row>
    <row r="130" spans="1:13" ht="56.25" customHeight="1" x14ac:dyDescent="0.3">
      <c r="A130" s="7">
        <v>128</v>
      </c>
      <c r="B130" s="7" t="s">
        <v>319</v>
      </c>
      <c r="C130" s="7" t="s">
        <v>320</v>
      </c>
      <c r="D130" s="8">
        <v>4.1000000000000002E-2</v>
      </c>
      <c r="H130" s="10" t="s">
        <v>527</v>
      </c>
      <c r="I130" s="11" t="s">
        <v>528</v>
      </c>
      <c r="J130" s="10" t="s">
        <v>529</v>
      </c>
      <c r="K130" s="11" t="s">
        <v>530</v>
      </c>
      <c r="L130" s="18">
        <f t="shared" si="2"/>
        <v>0.88</v>
      </c>
      <c r="M130" s="15" t="str">
        <f t="shared" si="3"/>
        <v>2</v>
      </c>
    </row>
    <row r="131" spans="1:13" ht="56.25" customHeight="1" x14ac:dyDescent="0.3">
      <c r="A131" s="5">
        <v>129</v>
      </c>
      <c r="B131" s="5" t="s">
        <v>531</v>
      </c>
      <c r="C131" s="5" t="s">
        <v>532</v>
      </c>
      <c r="D131" s="6">
        <v>4.1000000000000002E-2</v>
      </c>
      <c r="H131" s="10" t="s">
        <v>527</v>
      </c>
      <c r="I131" s="11" t="s">
        <v>528</v>
      </c>
      <c r="J131" s="10" t="s">
        <v>533</v>
      </c>
      <c r="K131" s="11" t="s">
        <v>534</v>
      </c>
      <c r="L131" s="18">
        <f t="shared" ref="L131:L194" si="4">IFERROR(INDEX($D$3:$D$704,MATCH(TRIM(J131),$B$3:$B$704,0)),"")</f>
        <v>0.38</v>
      </c>
      <c r="M131" s="15" t="str">
        <f t="shared" ref="M131:M194" si="5">LEFT(TEXT(H131,"0000")*0.1)</f>
        <v>2</v>
      </c>
    </row>
    <row r="132" spans="1:13" ht="56.25" customHeight="1" x14ac:dyDescent="0.3">
      <c r="A132" s="7">
        <v>130</v>
      </c>
      <c r="B132" s="7" t="s">
        <v>535</v>
      </c>
      <c r="C132" s="7" t="s">
        <v>536</v>
      </c>
      <c r="D132" s="8">
        <v>4.2000000000000003E-2</v>
      </c>
      <c r="H132" s="10" t="s">
        <v>537</v>
      </c>
      <c r="I132" s="11" t="s">
        <v>538</v>
      </c>
      <c r="J132" s="10" t="s">
        <v>289</v>
      </c>
      <c r="K132" s="11" t="s">
        <v>539</v>
      </c>
      <c r="L132" s="18">
        <f t="shared" si="4"/>
        <v>1.4999999999999999E-2</v>
      </c>
      <c r="M132" s="15" t="str">
        <f t="shared" si="5"/>
        <v>2</v>
      </c>
    </row>
    <row r="133" spans="1:13" ht="56.25" customHeight="1" x14ac:dyDescent="0.3">
      <c r="A133" s="5">
        <v>131</v>
      </c>
      <c r="B133" s="5" t="s">
        <v>540</v>
      </c>
      <c r="C133" s="5" t="s">
        <v>541</v>
      </c>
      <c r="D133" s="6">
        <v>4.2000000000000003E-2</v>
      </c>
      <c r="H133" s="10" t="s">
        <v>537</v>
      </c>
      <c r="I133" s="11" t="s">
        <v>538</v>
      </c>
      <c r="J133" s="10" t="s">
        <v>542</v>
      </c>
      <c r="K133" s="11" t="s">
        <v>543</v>
      </c>
      <c r="L133" s="18">
        <f t="shared" si="4"/>
        <v>8.2000000000000003E-2</v>
      </c>
      <c r="M133" s="15" t="str">
        <f t="shared" si="5"/>
        <v>2</v>
      </c>
    </row>
    <row r="134" spans="1:13" ht="56.25" customHeight="1" x14ac:dyDescent="0.3">
      <c r="A134" s="7">
        <v>132</v>
      </c>
      <c r="B134" s="7" t="s">
        <v>544</v>
      </c>
      <c r="C134" s="7" t="s">
        <v>545</v>
      </c>
      <c r="D134" s="8">
        <v>4.2999999999999997E-2</v>
      </c>
      <c r="H134" s="10" t="s">
        <v>546</v>
      </c>
      <c r="I134" s="11" t="s">
        <v>547</v>
      </c>
      <c r="J134" s="10" t="s">
        <v>548</v>
      </c>
      <c r="K134" s="11" t="s">
        <v>549</v>
      </c>
      <c r="L134" s="18" t="str">
        <f t="shared" si="4"/>
        <v/>
      </c>
      <c r="M134" s="15" t="str">
        <f t="shared" si="5"/>
        <v>2</v>
      </c>
    </row>
    <row r="135" spans="1:13" ht="56.25" customHeight="1" x14ac:dyDescent="0.3">
      <c r="A135" s="5">
        <v>133</v>
      </c>
      <c r="B135" s="5" t="s">
        <v>508</v>
      </c>
      <c r="C135" s="5" t="s">
        <v>507</v>
      </c>
      <c r="D135" s="6">
        <v>4.4999999999999998E-2</v>
      </c>
      <c r="H135" s="10" t="s">
        <v>546</v>
      </c>
      <c r="I135" s="11" t="s">
        <v>547</v>
      </c>
      <c r="J135" s="10" t="s">
        <v>550</v>
      </c>
      <c r="K135" s="11" t="s">
        <v>551</v>
      </c>
      <c r="L135" s="18" t="str">
        <f t="shared" si="4"/>
        <v/>
      </c>
      <c r="M135" s="15" t="str">
        <f t="shared" si="5"/>
        <v>2</v>
      </c>
    </row>
    <row r="136" spans="1:13" ht="56.25" customHeight="1" x14ac:dyDescent="0.3">
      <c r="A136" s="7">
        <v>134</v>
      </c>
      <c r="B136" s="7" t="s">
        <v>552</v>
      </c>
      <c r="C136" s="7" t="s">
        <v>553</v>
      </c>
      <c r="D136" s="8">
        <v>4.4999999999999998E-2</v>
      </c>
      <c r="H136" s="10" t="s">
        <v>546</v>
      </c>
      <c r="I136" s="11" t="s">
        <v>547</v>
      </c>
      <c r="J136" s="10" t="s">
        <v>554</v>
      </c>
      <c r="K136" s="11" t="s">
        <v>555</v>
      </c>
      <c r="L136" s="18" t="str">
        <f t="shared" si="4"/>
        <v/>
      </c>
      <c r="M136" s="15" t="str">
        <f t="shared" si="5"/>
        <v>2</v>
      </c>
    </row>
    <row r="137" spans="1:13" ht="56.25" customHeight="1" x14ac:dyDescent="0.3">
      <c r="A137" s="5">
        <v>135</v>
      </c>
      <c r="B137" s="5" t="s">
        <v>355</v>
      </c>
      <c r="C137" s="5" t="s">
        <v>356</v>
      </c>
      <c r="D137" s="6">
        <v>4.7E-2</v>
      </c>
      <c r="H137" s="10" t="s">
        <v>546</v>
      </c>
      <c r="I137" s="11" t="s">
        <v>547</v>
      </c>
      <c r="J137" s="10" t="s">
        <v>556</v>
      </c>
      <c r="K137" s="11" t="s">
        <v>557</v>
      </c>
      <c r="L137" s="18" t="str">
        <f t="shared" si="4"/>
        <v/>
      </c>
      <c r="M137" s="15" t="str">
        <f t="shared" si="5"/>
        <v>2</v>
      </c>
    </row>
    <row r="138" spans="1:13" ht="56.25" customHeight="1" x14ac:dyDescent="0.3">
      <c r="A138" s="7">
        <v>136</v>
      </c>
      <c r="B138" s="7" t="s">
        <v>558</v>
      </c>
      <c r="C138" s="7" t="s">
        <v>559</v>
      </c>
      <c r="D138" s="8">
        <v>4.7E-2</v>
      </c>
      <c r="H138" s="10" t="s">
        <v>560</v>
      </c>
      <c r="I138" s="11" t="s">
        <v>561</v>
      </c>
      <c r="J138" s="10" t="s">
        <v>562</v>
      </c>
      <c r="K138" s="11" t="s">
        <v>563</v>
      </c>
      <c r="L138" s="18" t="str">
        <f t="shared" si="4"/>
        <v/>
      </c>
      <c r="M138" s="15" t="str">
        <f t="shared" si="5"/>
        <v>2</v>
      </c>
    </row>
    <row r="139" spans="1:13" ht="56.25" customHeight="1" x14ac:dyDescent="0.3">
      <c r="A139" s="5">
        <v>137</v>
      </c>
      <c r="B139" s="5" t="s">
        <v>209</v>
      </c>
      <c r="C139" s="5" t="s">
        <v>564</v>
      </c>
      <c r="D139" s="6">
        <v>4.7E-2</v>
      </c>
      <c r="H139" s="10" t="s">
        <v>560</v>
      </c>
      <c r="I139" s="11" t="s">
        <v>561</v>
      </c>
      <c r="J139" s="10" t="s">
        <v>565</v>
      </c>
      <c r="K139" s="11" t="s">
        <v>566</v>
      </c>
      <c r="L139" s="18" t="str">
        <f t="shared" si="4"/>
        <v/>
      </c>
      <c r="M139" s="15" t="str">
        <f t="shared" si="5"/>
        <v>2</v>
      </c>
    </row>
    <row r="140" spans="1:13" ht="56.25" customHeight="1" x14ac:dyDescent="0.3">
      <c r="A140" s="7">
        <v>138</v>
      </c>
      <c r="B140" s="7" t="s">
        <v>567</v>
      </c>
      <c r="C140" s="7" t="s">
        <v>568</v>
      </c>
      <c r="D140" s="8">
        <v>4.8000000000000001E-2</v>
      </c>
      <c r="H140" s="10" t="s">
        <v>560</v>
      </c>
      <c r="I140" s="11" t="s">
        <v>561</v>
      </c>
      <c r="J140" s="10" t="s">
        <v>569</v>
      </c>
      <c r="K140" s="11" t="s">
        <v>570</v>
      </c>
      <c r="L140" s="18" t="str">
        <f t="shared" si="4"/>
        <v/>
      </c>
      <c r="M140" s="15" t="str">
        <f t="shared" si="5"/>
        <v>2</v>
      </c>
    </row>
    <row r="141" spans="1:13" ht="56.25" customHeight="1" x14ac:dyDescent="0.3">
      <c r="A141" s="5">
        <v>139</v>
      </c>
      <c r="B141" s="5" t="s">
        <v>571</v>
      </c>
      <c r="C141" s="5" t="s">
        <v>572</v>
      </c>
      <c r="D141" s="6">
        <v>4.9000000000000002E-2</v>
      </c>
      <c r="H141" s="10" t="s">
        <v>560</v>
      </c>
      <c r="I141" s="11" t="s">
        <v>561</v>
      </c>
      <c r="J141" s="10" t="s">
        <v>573</v>
      </c>
      <c r="K141" s="11" t="s">
        <v>574</v>
      </c>
      <c r="L141" s="18" t="str">
        <f t="shared" si="4"/>
        <v/>
      </c>
      <c r="M141" s="15" t="str">
        <f t="shared" si="5"/>
        <v>2</v>
      </c>
    </row>
    <row r="142" spans="1:13" ht="56.25" customHeight="1" x14ac:dyDescent="0.3">
      <c r="A142" s="7">
        <v>140</v>
      </c>
      <c r="B142" s="7" t="s">
        <v>575</v>
      </c>
      <c r="C142" s="7" t="s">
        <v>576</v>
      </c>
      <c r="D142" s="8">
        <v>5.5E-2</v>
      </c>
      <c r="H142" s="10" t="s">
        <v>560</v>
      </c>
      <c r="I142" s="11" t="s">
        <v>561</v>
      </c>
      <c r="J142" s="10" t="s">
        <v>556</v>
      </c>
      <c r="K142" s="11" t="s">
        <v>557</v>
      </c>
      <c r="L142" s="18" t="str">
        <f t="shared" si="4"/>
        <v/>
      </c>
      <c r="M142" s="15" t="str">
        <f t="shared" si="5"/>
        <v>2</v>
      </c>
    </row>
    <row r="143" spans="1:13" ht="56.25" customHeight="1" x14ac:dyDescent="0.3">
      <c r="A143" s="5">
        <v>141</v>
      </c>
      <c r="B143" s="5" t="s">
        <v>577</v>
      </c>
      <c r="C143" s="5" t="s">
        <v>578</v>
      </c>
      <c r="D143" s="6">
        <v>5.5E-2</v>
      </c>
      <c r="H143" s="10" t="s">
        <v>579</v>
      </c>
      <c r="I143" s="11" t="s">
        <v>580</v>
      </c>
      <c r="J143" s="10" t="s">
        <v>581</v>
      </c>
      <c r="K143" s="11" t="s">
        <v>582</v>
      </c>
      <c r="L143" s="18" t="str">
        <f t="shared" si="4"/>
        <v/>
      </c>
      <c r="M143" s="15" t="str">
        <f t="shared" si="5"/>
        <v>2</v>
      </c>
    </row>
    <row r="144" spans="1:13" ht="56.25" customHeight="1" x14ac:dyDescent="0.3">
      <c r="A144" s="7">
        <v>142</v>
      </c>
      <c r="B144" s="7" t="s">
        <v>583</v>
      </c>
      <c r="C144" s="7" t="s">
        <v>584</v>
      </c>
      <c r="D144" s="8">
        <v>5.5E-2</v>
      </c>
      <c r="H144" s="10" t="s">
        <v>579</v>
      </c>
      <c r="I144" s="11" t="s">
        <v>580</v>
      </c>
      <c r="J144" s="10" t="s">
        <v>585</v>
      </c>
      <c r="K144" s="11" t="s">
        <v>586</v>
      </c>
      <c r="L144" s="18" t="str">
        <f t="shared" si="4"/>
        <v/>
      </c>
      <c r="M144" s="15" t="str">
        <f t="shared" si="5"/>
        <v>2</v>
      </c>
    </row>
    <row r="145" spans="1:13" ht="56.25" customHeight="1" x14ac:dyDescent="0.3">
      <c r="A145" s="5">
        <v>143</v>
      </c>
      <c r="B145" s="5" t="s">
        <v>587</v>
      </c>
      <c r="C145" s="5" t="s">
        <v>588</v>
      </c>
      <c r="D145" s="6">
        <v>5.7000000000000002E-2</v>
      </c>
      <c r="H145" s="10" t="s">
        <v>579</v>
      </c>
      <c r="I145" s="11" t="s">
        <v>580</v>
      </c>
      <c r="J145" s="10" t="s">
        <v>589</v>
      </c>
      <c r="K145" s="11" t="s">
        <v>590</v>
      </c>
      <c r="L145" s="18" t="str">
        <f t="shared" si="4"/>
        <v/>
      </c>
      <c r="M145" s="15" t="str">
        <f t="shared" si="5"/>
        <v>2</v>
      </c>
    </row>
    <row r="146" spans="1:13" ht="56.25" customHeight="1" x14ac:dyDescent="0.3">
      <c r="A146" s="7">
        <v>144</v>
      </c>
      <c r="B146" s="7" t="s">
        <v>591</v>
      </c>
      <c r="C146" s="7" t="s">
        <v>592</v>
      </c>
      <c r="D146" s="8">
        <v>5.8000000000000003E-2</v>
      </c>
      <c r="H146" s="10" t="s">
        <v>593</v>
      </c>
      <c r="I146" s="11" t="s">
        <v>594</v>
      </c>
      <c r="J146" s="10" t="s">
        <v>595</v>
      </c>
      <c r="K146" s="11" t="s">
        <v>596</v>
      </c>
      <c r="L146" s="18" t="str">
        <f t="shared" si="4"/>
        <v/>
      </c>
      <c r="M146" s="15" t="str">
        <f t="shared" si="5"/>
        <v>2</v>
      </c>
    </row>
    <row r="147" spans="1:13" ht="56.25" customHeight="1" x14ac:dyDescent="0.3">
      <c r="A147" s="5">
        <v>145</v>
      </c>
      <c r="B147" s="5" t="s">
        <v>597</v>
      </c>
      <c r="C147" s="5" t="s">
        <v>598</v>
      </c>
      <c r="D147" s="6">
        <v>5.8999999999999997E-2</v>
      </c>
      <c r="H147" s="10" t="s">
        <v>599</v>
      </c>
      <c r="I147" s="11" t="s">
        <v>600</v>
      </c>
      <c r="J147" s="10" t="s">
        <v>365</v>
      </c>
      <c r="K147" s="11" t="s">
        <v>601</v>
      </c>
      <c r="L147" s="18">
        <f t="shared" si="4"/>
        <v>0.02</v>
      </c>
      <c r="M147" s="15" t="str">
        <f t="shared" si="5"/>
        <v>2</v>
      </c>
    </row>
    <row r="148" spans="1:13" ht="56.25" customHeight="1" x14ac:dyDescent="0.3">
      <c r="A148" s="7">
        <v>146</v>
      </c>
      <c r="B148" s="7" t="s">
        <v>602</v>
      </c>
      <c r="C148" s="7" t="s">
        <v>603</v>
      </c>
      <c r="D148" s="8">
        <v>0.06</v>
      </c>
      <c r="H148" s="10" t="s">
        <v>604</v>
      </c>
      <c r="I148" s="11" t="s">
        <v>605</v>
      </c>
      <c r="J148" s="10" t="s">
        <v>606</v>
      </c>
      <c r="K148" s="11" t="s">
        <v>607</v>
      </c>
      <c r="L148" s="18">
        <f t="shared" si="4"/>
        <v>0.14000000000000001</v>
      </c>
      <c r="M148" s="15" t="str">
        <f t="shared" si="5"/>
        <v>2</v>
      </c>
    </row>
    <row r="149" spans="1:13" ht="56.25" customHeight="1" x14ac:dyDescent="0.3">
      <c r="A149" s="5">
        <v>147</v>
      </c>
      <c r="B149" s="5" t="s">
        <v>373</v>
      </c>
      <c r="C149" s="5" t="s">
        <v>608</v>
      </c>
      <c r="D149" s="6">
        <v>6.0999999999999999E-2</v>
      </c>
      <c r="H149" s="10" t="s">
        <v>609</v>
      </c>
      <c r="I149" s="11" t="s">
        <v>500</v>
      </c>
      <c r="J149" s="10" t="s">
        <v>499</v>
      </c>
      <c r="K149" s="11" t="s">
        <v>500</v>
      </c>
      <c r="L149" s="18">
        <f t="shared" si="4"/>
        <v>3.7999999999999999E-2</v>
      </c>
      <c r="M149" s="15" t="str">
        <f t="shared" si="5"/>
        <v>2</v>
      </c>
    </row>
    <row r="150" spans="1:13" ht="56.25" customHeight="1" x14ac:dyDescent="0.3">
      <c r="A150" s="7">
        <v>148</v>
      </c>
      <c r="B150" s="7" t="s">
        <v>610</v>
      </c>
      <c r="C150" s="7" t="s">
        <v>611</v>
      </c>
      <c r="D150" s="8">
        <v>6.4000000000000001E-2</v>
      </c>
      <c r="H150" s="10" t="s">
        <v>612</v>
      </c>
      <c r="I150" s="11" t="s">
        <v>613</v>
      </c>
      <c r="J150" s="10" t="s">
        <v>83</v>
      </c>
      <c r="K150" s="11" t="s">
        <v>614</v>
      </c>
      <c r="L150" s="18">
        <f t="shared" si="4"/>
        <v>4.4000000000000003E-3</v>
      </c>
      <c r="M150" s="15" t="str">
        <f t="shared" si="5"/>
        <v>2</v>
      </c>
    </row>
    <row r="151" spans="1:13" ht="56.25" customHeight="1" x14ac:dyDescent="0.3">
      <c r="A151" s="5">
        <v>149</v>
      </c>
      <c r="B151" s="5" t="s">
        <v>615</v>
      </c>
      <c r="C151" s="5" t="s">
        <v>616</v>
      </c>
      <c r="D151" s="6">
        <v>6.6000000000000003E-2</v>
      </c>
      <c r="H151" s="10" t="s">
        <v>612</v>
      </c>
      <c r="I151" s="11" t="s">
        <v>613</v>
      </c>
      <c r="J151" s="10" t="s">
        <v>39</v>
      </c>
      <c r="K151" s="11" t="s">
        <v>617</v>
      </c>
      <c r="L151" s="18">
        <f t="shared" si="4"/>
        <v>3.5999999999999999E-3</v>
      </c>
      <c r="M151" s="15" t="str">
        <f t="shared" si="5"/>
        <v>2</v>
      </c>
    </row>
    <row r="152" spans="1:13" ht="56.25" customHeight="1" x14ac:dyDescent="0.3">
      <c r="A152" s="7">
        <v>150</v>
      </c>
      <c r="B152" s="7" t="s">
        <v>618</v>
      </c>
      <c r="C152" s="7" t="s">
        <v>619</v>
      </c>
      <c r="D152" s="8">
        <v>6.6000000000000003E-2</v>
      </c>
      <c r="H152" s="10" t="s">
        <v>612</v>
      </c>
      <c r="I152" s="11" t="s">
        <v>613</v>
      </c>
      <c r="J152" s="10" t="s">
        <v>398</v>
      </c>
      <c r="K152" s="11" t="s">
        <v>399</v>
      </c>
      <c r="L152" s="18">
        <f t="shared" si="4"/>
        <v>2.3E-2</v>
      </c>
      <c r="M152" s="15" t="str">
        <f t="shared" si="5"/>
        <v>2</v>
      </c>
    </row>
    <row r="153" spans="1:13" ht="56.25" customHeight="1" x14ac:dyDescent="0.3">
      <c r="A153" s="5">
        <v>151</v>
      </c>
      <c r="B153" s="5" t="s">
        <v>620</v>
      </c>
      <c r="C153" s="5" t="s">
        <v>621</v>
      </c>
      <c r="D153" s="6">
        <v>6.7000000000000004E-2</v>
      </c>
      <c r="H153" s="10" t="s">
        <v>612</v>
      </c>
      <c r="I153" s="11" t="s">
        <v>613</v>
      </c>
      <c r="J153" s="10" t="s">
        <v>577</v>
      </c>
      <c r="K153" s="11" t="s">
        <v>578</v>
      </c>
      <c r="L153" s="18">
        <f t="shared" si="4"/>
        <v>5.5E-2</v>
      </c>
      <c r="M153" s="15" t="str">
        <f t="shared" si="5"/>
        <v>2</v>
      </c>
    </row>
    <row r="154" spans="1:13" ht="56.25" customHeight="1" x14ac:dyDescent="0.3">
      <c r="A154" s="7">
        <v>152</v>
      </c>
      <c r="B154" s="7" t="s">
        <v>137</v>
      </c>
      <c r="C154" s="7" t="s">
        <v>622</v>
      </c>
      <c r="D154" s="8">
        <v>6.9000000000000006E-2</v>
      </c>
      <c r="H154" s="10" t="s">
        <v>612</v>
      </c>
      <c r="I154" s="11" t="s">
        <v>613</v>
      </c>
      <c r="J154" s="10" t="s">
        <v>623</v>
      </c>
      <c r="K154" s="11" t="s">
        <v>624</v>
      </c>
      <c r="L154" s="18" t="str">
        <f t="shared" si="4"/>
        <v/>
      </c>
      <c r="M154" s="15" t="str">
        <f t="shared" si="5"/>
        <v>2</v>
      </c>
    </row>
    <row r="155" spans="1:13" ht="56.25" customHeight="1" x14ac:dyDescent="0.3">
      <c r="A155" s="5">
        <v>153</v>
      </c>
      <c r="B155" s="5" t="s">
        <v>478</v>
      </c>
      <c r="C155" s="5" t="s">
        <v>625</v>
      </c>
      <c r="D155" s="6">
        <v>7.0000000000000007E-2</v>
      </c>
      <c r="H155" s="10" t="s">
        <v>626</v>
      </c>
      <c r="I155" s="11" t="s">
        <v>232</v>
      </c>
      <c r="J155" s="10" t="s">
        <v>231</v>
      </c>
      <c r="K155" s="11" t="s">
        <v>232</v>
      </c>
      <c r="L155" s="18">
        <f t="shared" si="4"/>
        <v>1.2E-2</v>
      </c>
      <c r="M155" s="15" t="str">
        <f t="shared" si="5"/>
        <v>2</v>
      </c>
    </row>
    <row r="156" spans="1:13" ht="56.25" customHeight="1" x14ac:dyDescent="0.3">
      <c r="A156" s="7">
        <v>154</v>
      </c>
      <c r="B156" s="7" t="s">
        <v>229</v>
      </c>
      <c r="C156" s="7" t="s">
        <v>228</v>
      </c>
      <c r="D156" s="8">
        <v>7.0999999999999994E-2</v>
      </c>
      <c r="H156" s="10" t="s">
        <v>627</v>
      </c>
      <c r="I156" s="11" t="s">
        <v>628</v>
      </c>
      <c r="J156" s="10" t="s">
        <v>552</v>
      </c>
      <c r="K156" s="11" t="s">
        <v>629</v>
      </c>
      <c r="L156" s="18">
        <f t="shared" si="4"/>
        <v>4.4999999999999998E-2</v>
      </c>
      <c r="M156" s="15" t="str">
        <f t="shared" si="5"/>
        <v>2</v>
      </c>
    </row>
    <row r="157" spans="1:13" ht="56.25" customHeight="1" x14ac:dyDescent="0.3">
      <c r="A157" s="5">
        <v>155</v>
      </c>
      <c r="B157" s="5" t="s">
        <v>630</v>
      </c>
      <c r="C157" s="5" t="s">
        <v>631</v>
      </c>
      <c r="D157" s="6">
        <v>7.3999999999999996E-2</v>
      </c>
      <c r="H157" s="10" t="s">
        <v>627</v>
      </c>
      <c r="I157" s="11" t="s">
        <v>628</v>
      </c>
      <c r="J157" s="10" t="s">
        <v>632</v>
      </c>
      <c r="K157" s="11" t="s">
        <v>633</v>
      </c>
      <c r="L157" s="18">
        <f t="shared" si="4"/>
        <v>0.17</v>
      </c>
      <c r="M157" s="15" t="str">
        <f t="shared" si="5"/>
        <v>2</v>
      </c>
    </row>
    <row r="158" spans="1:13" ht="56.25" customHeight="1" x14ac:dyDescent="0.3">
      <c r="A158" s="7">
        <v>156</v>
      </c>
      <c r="B158" s="7" t="s">
        <v>634</v>
      </c>
      <c r="C158" s="7" t="s">
        <v>635</v>
      </c>
      <c r="D158" s="8">
        <v>7.4999999999999997E-2</v>
      </c>
      <c r="H158" s="10" t="s">
        <v>636</v>
      </c>
      <c r="I158" s="11" t="s">
        <v>637</v>
      </c>
      <c r="J158" s="10" t="s">
        <v>385</v>
      </c>
      <c r="K158" s="11" t="s">
        <v>638</v>
      </c>
      <c r="L158" s="18">
        <f t="shared" si="4"/>
        <v>2.1000000000000001E-2</v>
      </c>
      <c r="M158" s="15" t="str">
        <f t="shared" si="5"/>
        <v>2</v>
      </c>
    </row>
    <row r="159" spans="1:13" ht="56.25" customHeight="1" x14ac:dyDescent="0.3">
      <c r="A159" s="5">
        <v>157</v>
      </c>
      <c r="B159" s="5" t="s">
        <v>639</v>
      </c>
      <c r="C159" s="5" t="s">
        <v>640</v>
      </c>
      <c r="D159" s="6">
        <v>7.5999999999999998E-2</v>
      </c>
      <c r="H159" s="10" t="s">
        <v>636</v>
      </c>
      <c r="I159" s="11" t="s">
        <v>637</v>
      </c>
      <c r="J159" s="10" t="s">
        <v>641</v>
      </c>
      <c r="K159" s="11" t="s">
        <v>642</v>
      </c>
      <c r="L159" s="18" t="str">
        <f t="shared" si="4"/>
        <v/>
      </c>
      <c r="M159" s="15" t="str">
        <f t="shared" si="5"/>
        <v>2</v>
      </c>
    </row>
    <row r="160" spans="1:13" ht="56.25" customHeight="1" x14ac:dyDescent="0.3">
      <c r="A160" s="7">
        <v>158</v>
      </c>
      <c r="B160" s="7" t="s">
        <v>376</v>
      </c>
      <c r="C160" s="7" t="s">
        <v>643</v>
      </c>
      <c r="D160" s="8">
        <v>7.6999999999999999E-2</v>
      </c>
      <c r="H160" s="10" t="s">
        <v>644</v>
      </c>
      <c r="I160" s="11" t="s">
        <v>645</v>
      </c>
      <c r="J160" s="10" t="s">
        <v>49</v>
      </c>
      <c r="K160" s="11" t="s">
        <v>646</v>
      </c>
      <c r="L160" s="18">
        <f t="shared" si="4"/>
        <v>3.8999999999999998E-3</v>
      </c>
      <c r="M160" s="15" t="str">
        <f t="shared" si="5"/>
        <v>2</v>
      </c>
    </row>
    <row r="161" spans="1:13" ht="56.25" customHeight="1" x14ac:dyDescent="0.3">
      <c r="A161" s="5">
        <v>159</v>
      </c>
      <c r="B161" s="5" t="s">
        <v>647</v>
      </c>
      <c r="C161" s="5" t="s">
        <v>648</v>
      </c>
      <c r="D161" s="6">
        <v>0.08</v>
      </c>
      <c r="H161" s="10" t="s">
        <v>649</v>
      </c>
      <c r="I161" s="11" t="s">
        <v>650</v>
      </c>
      <c r="J161" s="10" t="s">
        <v>131</v>
      </c>
      <c r="K161" s="11" t="s">
        <v>651</v>
      </c>
      <c r="L161" s="18">
        <f t="shared" si="4"/>
        <v>6.4000000000000003E-3</v>
      </c>
      <c r="M161" s="15" t="str">
        <f t="shared" si="5"/>
        <v>2</v>
      </c>
    </row>
    <row r="162" spans="1:13" ht="56.25" customHeight="1" x14ac:dyDescent="0.3">
      <c r="A162" s="7">
        <v>160</v>
      </c>
      <c r="B162" s="7" t="s">
        <v>652</v>
      </c>
      <c r="C162" s="7" t="s">
        <v>653</v>
      </c>
      <c r="D162" s="8">
        <v>0.08</v>
      </c>
      <c r="H162" s="10" t="s">
        <v>649</v>
      </c>
      <c r="I162" s="11" t="s">
        <v>650</v>
      </c>
      <c r="J162" s="10" t="s">
        <v>23</v>
      </c>
      <c r="K162" s="11" t="s">
        <v>24</v>
      </c>
      <c r="L162" s="18">
        <f t="shared" si="4"/>
        <v>3.3E-3</v>
      </c>
      <c r="M162" s="15" t="str">
        <f t="shared" si="5"/>
        <v>2</v>
      </c>
    </row>
    <row r="163" spans="1:13" ht="56.25" customHeight="1" x14ac:dyDescent="0.3">
      <c r="A163" s="5">
        <v>161</v>
      </c>
      <c r="B163" s="5" t="s">
        <v>542</v>
      </c>
      <c r="C163" s="5" t="s">
        <v>654</v>
      </c>
      <c r="D163" s="6">
        <v>8.2000000000000003E-2</v>
      </c>
      <c r="H163" s="10" t="s">
        <v>655</v>
      </c>
      <c r="I163" s="11" t="s">
        <v>656</v>
      </c>
      <c r="J163" s="10" t="s">
        <v>657</v>
      </c>
      <c r="K163" s="11" t="s">
        <v>658</v>
      </c>
      <c r="L163" s="18">
        <f t="shared" si="4"/>
        <v>0.14000000000000001</v>
      </c>
      <c r="M163" s="15" t="str">
        <f t="shared" si="5"/>
        <v>2</v>
      </c>
    </row>
    <row r="164" spans="1:13" ht="56.25" customHeight="1" x14ac:dyDescent="0.3">
      <c r="A164" s="7">
        <v>162</v>
      </c>
      <c r="B164" s="7" t="s">
        <v>293</v>
      </c>
      <c r="C164" s="7" t="s">
        <v>659</v>
      </c>
      <c r="D164" s="8">
        <v>8.3000000000000004E-2</v>
      </c>
      <c r="H164" s="10" t="s">
        <v>660</v>
      </c>
      <c r="I164" s="11" t="s">
        <v>661</v>
      </c>
      <c r="J164" s="10" t="s">
        <v>418</v>
      </c>
      <c r="K164" s="11" t="s">
        <v>419</v>
      </c>
      <c r="L164" s="18">
        <f t="shared" si="4"/>
        <v>2.7E-2</v>
      </c>
      <c r="M164" s="15" t="str">
        <f t="shared" si="5"/>
        <v>2</v>
      </c>
    </row>
    <row r="165" spans="1:13" ht="56.25" customHeight="1" x14ac:dyDescent="0.3">
      <c r="A165" s="5">
        <v>163</v>
      </c>
      <c r="B165" s="5" t="s">
        <v>662</v>
      </c>
      <c r="C165" s="5" t="s">
        <v>663</v>
      </c>
      <c r="D165" s="6">
        <v>8.4000000000000005E-2</v>
      </c>
      <c r="H165" s="10" t="s">
        <v>660</v>
      </c>
      <c r="I165" s="11" t="s">
        <v>661</v>
      </c>
      <c r="J165" s="10" t="s">
        <v>102</v>
      </c>
      <c r="K165" s="11" t="s">
        <v>103</v>
      </c>
      <c r="L165" s="18">
        <f t="shared" si="4"/>
        <v>4.5999999999999999E-3</v>
      </c>
      <c r="M165" s="15" t="str">
        <f t="shared" si="5"/>
        <v>2</v>
      </c>
    </row>
    <row r="166" spans="1:13" ht="56.25" customHeight="1" x14ac:dyDescent="0.3">
      <c r="A166" s="7">
        <v>164</v>
      </c>
      <c r="B166" s="7" t="s">
        <v>664</v>
      </c>
      <c r="C166" s="7" t="s">
        <v>665</v>
      </c>
      <c r="D166" s="8">
        <v>8.5000000000000006E-2</v>
      </c>
      <c r="H166" s="10" t="s">
        <v>660</v>
      </c>
      <c r="I166" s="11" t="s">
        <v>661</v>
      </c>
      <c r="J166" s="10" t="s">
        <v>27</v>
      </c>
      <c r="K166" s="11" t="s">
        <v>666</v>
      </c>
      <c r="L166" s="18">
        <f t="shared" si="4"/>
        <v>3.5000000000000001E-3</v>
      </c>
      <c r="M166" s="15" t="str">
        <f t="shared" si="5"/>
        <v>2</v>
      </c>
    </row>
    <row r="167" spans="1:13" ht="56.25" customHeight="1" x14ac:dyDescent="0.3">
      <c r="A167" s="5">
        <v>165</v>
      </c>
      <c r="B167" s="5" t="s">
        <v>302</v>
      </c>
      <c r="C167" s="5" t="s">
        <v>667</v>
      </c>
      <c r="D167" s="6">
        <v>9.0999999999999998E-2</v>
      </c>
      <c r="H167" s="10" t="s">
        <v>660</v>
      </c>
      <c r="I167" s="11" t="s">
        <v>661</v>
      </c>
      <c r="J167" s="10" t="s">
        <v>5</v>
      </c>
      <c r="K167" s="11" t="s">
        <v>668</v>
      </c>
      <c r="L167" s="18">
        <f t="shared" si="4"/>
        <v>2.8E-3</v>
      </c>
      <c r="M167" s="15" t="str">
        <f t="shared" si="5"/>
        <v>2</v>
      </c>
    </row>
    <row r="168" spans="1:13" ht="56.25" customHeight="1" x14ac:dyDescent="0.3">
      <c r="A168" s="7">
        <v>166</v>
      </c>
      <c r="B168" s="7" t="s">
        <v>669</v>
      </c>
      <c r="C168" s="7" t="s">
        <v>670</v>
      </c>
      <c r="D168" s="8">
        <v>9.7000000000000003E-2</v>
      </c>
      <c r="H168" s="10" t="s">
        <v>660</v>
      </c>
      <c r="I168" s="11" t="s">
        <v>661</v>
      </c>
      <c r="J168" s="10" t="s">
        <v>671</v>
      </c>
      <c r="K168" s="11" t="s">
        <v>672</v>
      </c>
      <c r="L168" s="18" t="str">
        <f t="shared" si="4"/>
        <v/>
      </c>
      <c r="M168" s="15" t="str">
        <f t="shared" si="5"/>
        <v>2</v>
      </c>
    </row>
    <row r="169" spans="1:13" ht="56.25" customHeight="1" x14ac:dyDescent="0.3">
      <c r="A169" s="5">
        <v>167</v>
      </c>
      <c r="B169" s="5" t="s">
        <v>673</v>
      </c>
      <c r="C169" s="5" t="s">
        <v>674</v>
      </c>
      <c r="D169" s="6">
        <v>9.8000000000000004E-2</v>
      </c>
      <c r="H169" s="10" t="s">
        <v>660</v>
      </c>
      <c r="I169" s="11" t="s">
        <v>661</v>
      </c>
      <c r="J169" s="10" t="s">
        <v>365</v>
      </c>
      <c r="K169" s="11" t="s">
        <v>601</v>
      </c>
      <c r="L169" s="18">
        <f t="shared" si="4"/>
        <v>0.02</v>
      </c>
      <c r="M169" s="15" t="str">
        <f t="shared" si="5"/>
        <v>2</v>
      </c>
    </row>
    <row r="170" spans="1:13" ht="56.25" customHeight="1" x14ac:dyDescent="0.3">
      <c r="A170" s="7">
        <v>168</v>
      </c>
      <c r="B170" s="7" t="s">
        <v>675</v>
      </c>
      <c r="C170" s="7" t="s">
        <v>676</v>
      </c>
      <c r="D170" s="8">
        <v>9.9000000000000005E-2</v>
      </c>
      <c r="H170" s="10" t="s">
        <v>660</v>
      </c>
      <c r="I170" s="11" t="s">
        <v>661</v>
      </c>
      <c r="J170" s="10" t="s">
        <v>677</v>
      </c>
      <c r="K170" s="11" t="s">
        <v>678</v>
      </c>
      <c r="L170" s="18" t="str">
        <f t="shared" si="4"/>
        <v/>
      </c>
      <c r="M170" s="15" t="str">
        <f t="shared" si="5"/>
        <v>2</v>
      </c>
    </row>
    <row r="171" spans="1:13" ht="56.25" customHeight="1" x14ac:dyDescent="0.3">
      <c r="A171" s="5">
        <v>169</v>
      </c>
      <c r="B171" s="5" t="s">
        <v>679</v>
      </c>
      <c r="C171" s="5" t="s">
        <v>680</v>
      </c>
      <c r="D171" s="6">
        <v>0.1</v>
      </c>
      <c r="H171" s="10" t="s">
        <v>681</v>
      </c>
      <c r="I171" s="11" t="s">
        <v>682</v>
      </c>
      <c r="J171" s="10" t="s">
        <v>683</v>
      </c>
      <c r="K171" s="11" t="s">
        <v>684</v>
      </c>
      <c r="L171" s="18" t="str">
        <f t="shared" si="4"/>
        <v/>
      </c>
      <c r="M171" s="15" t="str">
        <f t="shared" si="5"/>
        <v>2</v>
      </c>
    </row>
    <row r="172" spans="1:13" ht="56.25" customHeight="1" x14ac:dyDescent="0.3">
      <c r="A172" s="7">
        <v>170</v>
      </c>
      <c r="B172" s="7" t="s">
        <v>685</v>
      </c>
      <c r="C172" s="7" t="s">
        <v>686</v>
      </c>
      <c r="D172" s="8">
        <v>0.1</v>
      </c>
      <c r="H172" s="10" t="s">
        <v>681</v>
      </c>
      <c r="I172" s="11" t="s">
        <v>682</v>
      </c>
      <c r="J172" s="10" t="s">
        <v>687</v>
      </c>
      <c r="K172" s="11" t="s">
        <v>688</v>
      </c>
      <c r="L172" s="18" t="str">
        <f t="shared" si="4"/>
        <v/>
      </c>
      <c r="M172" s="15" t="str">
        <f t="shared" si="5"/>
        <v>2</v>
      </c>
    </row>
    <row r="173" spans="1:13" ht="56.25" customHeight="1" x14ac:dyDescent="0.3">
      <c r="A173" s="5">
        <v>171</v>
      </c>
      <c r="B173" s="5" t="s">
        <v>689</v>
      </c>
      <c r="C173" s="5" t="s">
        <v>690</v>
      </c>
      <c r="D173" s="6">
        <v>0.1</v>
      </c>
      <c r="H173" s="10" t="s">
        <v>681</v>
      </c>
      <c r="I173" s="11" t="s">
        <v>682</v>
      </c>
      <c r="J173" s="10" t="s">
        <v>691</v>
      </c>
      <c r="K173" s="11" t="s">
        <v>692</v>
      </c>
      <c r="L173" s="18" t="str">
        <f t="shared" si="4"/>
        <v/>
      </c>
      <c r="M173" s="15" t="str">
        <f t="shared" si="5"/>
        <v>2</v>
      </c>
    </row>
    <row r="174" spans="1:13" ht="56.25" customHeight="1" x14ac:dyDescent="0.3">
      <c r="A174" s="7">
        <v>172</v>
      </c>
      <c r="B174" s="7" t="s">
        <v>485</v>
      </c>
      <c r="C174" s="7" t="s">
        <v>484</v>
      </c>
      <c r="D174" s="8">
        <v>0.1</v>
      </c>
      <c r="H174" s="10" t="s">
        <v>681</v>
      </c>
      <c r="I174" s="11" t="s">
        <v>682</v>
      </c>
      <c r="J174" s="10" t="s">
        <v>693</v>
      </c>
      <c r="K174" s="11" t="s">
        <v>694</v>
      </c>
      <c r="L174" s="18" t="str">
        <f t="shared" si="4"/>
        <v/>
      </c>
      <c r="M174" s="15" t="str">
        <f t="shared" si="5"/>
        <v>2</v>
      </c>
    </row>
    <row r="175" spans="1:13" ht="56.25" customHeight="1" x14ac:dyDescent="0.3">
      <c r="A175" s="5">
        <v>173</v>
      </c>
      <c r="B175" s="5" t="s">
        <v>335</v>
      </c>
      <c r="C175" s="5" t="s">
        <v>334</v>
      </c>
      <c r="D175" s="6">
        <v>0.1</v>
      </c>
      <c r="H175" s="10" t="s">
        <v>681</v>
      </c>
      <c r="I175" s="11" t="s">
        <v>682</v>
      </c>
      <c r="J175" s="10" t="s">
        <v>695</v>
      </c>
      <c r="K175" s="11" t="s">
        <v>696</v>
      </c>
      <c r="L175" s="18" t="str">
        <f t="shared" si="4"/>
        <v/>
      </c>
      <c r="M175" s="15" t="str">
        <f t="shared" si="5"/>
        <v>2</v>
      </c>
    </row>
    <row r="176" spans="1:13" ht="56.25" customHeight="1" x14ac:dyDescent="0.3">
      <c r="A176" s="7">
        <v>174</v>
      </c>
      <c r="B176" s="7" t="s">
        <v>697</v>
      </c>
      <c r="C176" s="7" t="s">
        <v>698</v>
      </c>
      <c r="D176" s="8">
        <v>0.1</v>
      </c>
      <c r="H176" s="10" t="s">
        <v>681</v>
      </c>
      <c r="I176" s="11" t="s">
        <v>682</v>
      </c>
      <c r="J176" s="10" t="s">
        <v>699</v>
      </c>
      <c r="K176" s="11" t="s">
        <v>700</v>
      </c>
      <c r="L176" s="18" t="str">
        <f t="shared" si="4"/>
        <v/>
      </c>
      <c r="M176" s="15" t="str">
        <f t="shared" si="5"/>
        <v>2</v>
      </c>
    </row>
    <row r="177" spans="1:13" ht="56.25" customHeight="1" x14ac:dyDescent="0.3">
      <c r="A177" s="5">
        <v>175</v>
      </c>
      <c r="B177" s="5" t="s">
        <v>323</v>
      </c>
      <c r="C177" s="5" t="s">
        <v>324</v>
      </c>
      <c r="D177" s="6">
        <v>0.1</v>
      </c>
      <c r="H177" s="10" t="s">
        <v>681</v>
      </c>
      <c r="I177" s="11" t="s">
        <v>682</v>
      </c>
      <c r="J177" s="10" t="s">
        <v>701</v>
      </c>
      <c r="K177" s="11" t="s">
        <v>702</v>
      </c>
      <c r="L177" s="18" t="str">
        <f t="shared" si="4"/>
        <v/>
      </c>
      <c r="M177" s="15" t="str">
        <f t="shared" si="5"/>
        <v>2</v>
      </c>
    </row>
    <row r="178" spans="1:13" ht="56.25" customHeight="1" x14ac:dyDescent="0.3">
      <c r="A178" s="7">
        <v>176</v>
      </c>
      <c r="B178" s="7" t="s">
        <v>703</v>
      </c>
      <c r="C178" s="7" t="s">
        <v>704</v>
      </c>
      <c r="D178" s="8">
        <v>0.11</v>
      </c>
      <c r="H178" s="10" t="s">
        <v>681</v>
      </c>
      <c r="I178" s="11" t="s">
        <v>682</v>
      </c>
      <c r="J178" s="10" t="s">
        <v>705</v>
      </c>
      <c r="K178" s="11" t="s">
        <v>706</v>
      </c>
      <c r="L178" s="18" t="str">
        <f t="shared" si="4"/>
        <v/>
      </c>
      <c r="M178" s="15" t="str">
        <f t="shared" si="5"/>
        <v>2</v>
      </c>
    </row>
    <row r="179" spans="1:13" ht="56.25" customHeight="1" x14ac:dyDescent="0.3">
      <c r="A179" s="5">
        <v>177</v>
      </c>
      <c r="B179" s="5" t="s">
        <v>707</v>
      </c>
      <c r="C179" s="5" t="s">
        <v>708</v>
      </c>
      <c r="D179" s="6">
        <v>0.11</v>
      </c>
      <c r="H179" s="10" t="s">
        <v>681</v>
      </c>
      <c r="I179" s="11" t="s">
        <v>682</v>
      </c>
      <c r="J179" s="10" t="s">
        <v>709</v>
      </c>
      <c r="K179" s="11" t="s">
        <v>710</v>
      </c>
      <c r="L179" s="18" t="str">
        <f t="shared" si="4"/>
        <v/>
      </c>
      <c r="M179" s="15" t="str">
        <f t="shared" si="5"/>
        <v>2</v>
      </c>
    </row>
    <row r="180" spans="1:13" ht="56.25" customHeight="1" x14ac:dyDescent="0.3">
      <c r="A180" s="7">
        <v>178</v>
      </c>
      <c r="B180" s="7" t="s">
        <v>711</v>
      </c>
      <c r="C180" s="7" t="s">
        <v>712</v>
      </c>
      <c r="D180" s="8">
        <v>0.11</v>
      </c>
      <c r="H180" s="10" t="s">
        <v>681</v>
      </c>
      <c r="I180" s="11" t="s">
        <v>682</v>
      </c>
      <c r="J180" s="10" t="s">
        <v>713</v>
      </c>
      <c r="K180" s="11" t="s">
        <v>714</v>
      </c>
      <c r="L180" s="18" t="str">
        <f t="shared" si="4"/>
        <v/>
      </c>
      <c r="M180" s="15" t="str">
        <f t="shared" si="5"/>
        <v>2</v>
      </c>
    </row>
    <row r="181" spans="1:13" ht="56.25" customHeight="1" x14ac:dyDescent="0.3">
      <c r="A181" s="5">
        <v>179</v>
      </c>
      <c r="B181" s="5" t="s">
        <v>715</v>
      </c>
      <c r="C181" s="5" t="s">
        <v>716</v>
      </c>
      <c r="D181" s="6">
        <v>0.13</v>
      </c>
      <c r="H181" s="10" t="s">
        <v>681</v>
      </c>
      <c r="I181" s="11" t="s">
        <v>682</v>
      </c>
      <c r="J181" s="10" t="s">
        <v>717</v>
      </c>
      <c r="K181" s="11" t="s">
        <v>718</v>
      </c>
      <c r="L181" s="18" t="str">
        <f t="shared" si="4"/>
        <v/>
      </c>
      <c r="M181" s="15" t="str">
        <f t="shared" si="5"/>
        <v>2</v>
      </c>
    </row>
    <row r="182" spans="1:13" ht="56.25" customHeight="1" x14ac:dyDescent="0.3">
      <c r="A182" s="7">
        <v>180</v>
      </c>
      <c r="B182" s="7" t="s">
        <v>719</v>
      </c>
      <c r="C182" s="7" t="s">
        <v>720</v>
      </c>
      <c r="D182" s="8">
        <v>0.13</v>
      </c>
      <c r="H182" s="10" t="s">
        <v>681</v>
      </c>
      <c r="I182" s="11" t="s">
        <v>682</v>
      </c>
      <c r="J182" s="10" t="s">
        <v>721</v>
      </c>
      <c r="K182" s="11" t="s">
        <v>722</v>
      </c>
      <c r="L182" s="18" t="str">
        <f t="shared" si="4"/>
        <v/>
      </c>
      <c r="M182" s="15" t="str">
        <f t="shared" si="5"/>
        <v>2</v>
      </c>
    </row>
    <row r="183" spans="1:13" ht="56.25" customHeight="1" x14ac:dyDescent="0.3">
      <c r="A183" s="5">
        <v>181</v>
      </c>
      <c r="B183" s="5" t="s">
        <v>723</v>
      </c>
      <c r="C183" s="5" t="s">
        <v>724</v>
      </c>
      <c r="D183" s="6">
        <v>0.13</v>
      </c>
      <c r="H183" s="10" t="s">
        <v>681</v>
      </c>
      <c r="I183" s="11" t="s">
        <v>682</v>
      </c>
      <c r="J183" s="10" t="s">
        <v>725</v>
      </c>
      <c r="K183" s="11" t="s">
        <v>726</v>
      </c>
      <c r="L183" s="18" t="str">
        <f t="shared" si="4"/>
        <v/>
      </c>
      <c r="M183" s="15" t="str">
        <f t="shared" si="5"/>
        <v>2</v>
      </c>
    </row>
    <row r="184" spans="1:13" ht="56.25" customHeight="1" x14ac:dyDescent="0.3">
      <c r="A184" s="7">
        <v>182</v>
      </c>
      <c r="B184" s="7" t="s">
        <v>727</v>
      </c>
      <c r="C184" s="7" t="s">
        <v>728</v>
      </c>
      <c r="D184" s="8">
        <v>0.13</v>
      </c>
      <c r="H184" s="10" t="s">
        <v>681</v>
      </c>
      <c r="I184" s="11" t="s">
        <v>682</v>
      </c>
      <c r="J184" s="10" t="s">
        <v>729</v>
      </c>
      <c r="K184" s="11" t="s">
        <v>730</v>
      </c>
      <c r="L184" s="18" t="str">
        <f t="shared" si="4"/>
        <v/>
      </c>
      <c r="M184" s="15" t="str">
        <f t="shared" si="5"/>
        <v>2</v>
      </c>
    </row>
    <row r="185" spans="1:13" ht="56.25" customHeight="1" x14ac:dyDescent="0.3">
      <c r="A185" s="5">
        <v>183</v>
      </c>
      <c r="B185" s="5" t="s">
        <v>731</v>
      </c>
      <c r="C185" s="5" t="s">
        <v>732</v>
      </c>
      <c r="D185" s="6">
        <v>0.13</v>
      </c>
      <c r="H185" s="10" t="s">
        <v>681</v>
      </c>
      <c r="I185" s="11" t="s">
        <v>682</v>
      </c>
      <c r="J185" s="10" t="s">
        <v>733</v>
      </c>
      <c r="K185" s="11" t="s">
        <v>734</v>
      </c>
      <c r="L185" s="18" t="str">
        <f t="shared" si="4"/>
        <v/>
      </c>
      <c r="M185" s="15" t="str">
        <f t="shared" si="5"/>
        <v>2</v>
      </c>
    </row>
    <row r="186" spans="1:13" ht="56.25" customHeight="1" x14ac:dyDescent="0.3">
      <c r="A186" s="7">
        <v>184</v>
      </c>
      <c r="B186" s="7" t="s">
        <v>525</v>
      </c>
      <c r="C186" s="7" t="s">
        <v>735</v>
      </c>
      <c r="D186" s="8">
        <v>0.13</v>
      </c>
      <c r="H186" s="10" t="s">
        <v>681</v>
      </c>
      <c r="I186" s="11" t="s">
        <v>682</v>
      </c>
      <c r="J186" s="10" t="s">
        <v>736</v>
      </c>
      <c r="K186" s="11" t="s">
        <v>737</v>
      </c>
      <c r="L186" s="18" t="str">
        <f t="shared" si="4"/>
        <v/>
      </c>
      <c r="M186" s="15" t="str">
        <f t="shared" si="5"/>
        <v>2</v>
      </c>
    </row>
    <row r="187" spans="1:13" ht="56.25" customHeight="1" x14ac:dyDescent="0.3">
      <c r="A187" s="5">
        <v>185</v>
      </c>
      <c r="B187" s="5" t="s">
        <v>738</v>
      </c>
      <c r="C187" s="5" t="s">
        <v>739</v>
      </c>
      <c r="D187" s="6">
        <v>0.13</v>
      </c>
      <c r="H187" s="10" t="s">
        <v>681</v>
      </c>
      <c r="I187" s="11" t="s">
        <v>682</v>
      </c>
      <c r="J187" s="10" t="s">
        <v>740</v>
      </c>
      <c r="K187" s="11" t="s">
        <v>741</v>
      </c>
      <c r="L187" s="18" t="str">
        <f t="shared" si="4"/>
        <v/>
      </c>
      <c r="M187" s="15" t="str">
        <f t="shared" si="5"/>
        <v>2</v>
      </c>
    </row>
    <row r="188" spans="1:13" ht="56.25" customHeight="1" x14ac:dyDescent="0.3">
      <c r="A188" s="7">
        <v>186</v>
      </c>
      <c r="B188" s="7" t="s">
        <v>742</v>
      </c>
      <c r="C188" s="7" t="s">
        <v>743</v>
      </c>
      <c r="D188" s="8">
        <v>0.13</v>
      </c>
      <c r="H188" s="10" t="s">
        <v>681</v>
      </c>
      <c r="I188" s="11" t="s">
        <v>682</v>
      </c>
      <c r="J188" s="10" t="s">
        <v>744</v>
      </c>
      <c r="K188" s="11" t="s">
        <v>745</v>
      </c>
      <c r="L188" s="18" t="str">
        <f t="shared" si="4"/>
        <v/>
      </c>
      <c r="M188" s="15" t="str">
        <f t="shared" si="5"/>
        <v>2</v>
      </c>
    </row>
    <row r="189" spans="1:13" ht="56.25" customHeight="1" x14ac:dyDescent="0.3">
      <c r="A189" s="5">
        <v>187</v>
      </c>
      <c r="B189" s="5" t="s">
        <v>746</v>
      </c>
      <c r="C189" s="5" t="s">
        <v>747</v>
      </c>
      <c r="D189" s="6">
        <v>0.13</v>
      </c>
      <c r="H189" s="10" t="s">
        <v>681</v>
      </c>
      <c r="I189" s="11" t="s">
        <v>682</v>
      </c>
      <c r="J189" s="10" t="s">
        <v>748</v>
      </c>
      <c r="K189" s="11" t="s">
        <v>749</v>
      </c>
      <c r="L189" s="18" t="str">
        <f t="shared" si="4"/>
        <v/>
      </c>
      <c r="M189" s="15" t="str">
        <f t="shared" si="5"/>
        <v>2</v>
      </c>
    </row>
    <row r="190" spans="1:13" ht="56.25" customHeight="1" x14ac:dyDescent="0.3">
      <c r="A190" s="7">
        <v>188</v>
      </c>
      <c r="B190" s="7" t="s">
        <v>657</v>
      </c>
      <c r="C190" s="7" t="s">
        <v>658</v>
      </c>
      <c r="D190" s="8">
        <v>0.14000000000000001</v>
      </c>
      <c r="H190" s="10" t="s">
        <v>681</v>
      </c>
      <c r="I190" s="11" t="s">
        <v>682</v>
      </c>
      <c r="J190" s="10" t="s">
        <v>750</v>
      </c>
      <c r="K190" s="11" t="s">
        <v>751</v>
      </c>
      <c r="L190" s="18" t="str">
        <f t="shared" si="4"/>
        <v/>
      </c>
      <c r="M190" s="15" t="str">
        <f t="shared" si="5"/>
        <v>2</v>
      </c>
    </row>
    <row r="191" spans="1:13" ht="56.25" customHeight="1" x14ac:dyDescent="0.3">
      <c r="A191" s="5">
        <v>189</v>
      </c>
      <c r="B191" s="5" t="s">
        <v>459</v>
      </c>
      <c r="C191" s="5" t="s">
        <v>752</v>
      </c>
      <c r="D191" s="6">
        <v>0.14000000000000001</v>
      </c>
      <c r="H191" s="10" t="s">
        <v>681</v>
      </c>
      <c r="I191" s="11" t="s">
        <v>682</v>
      </c>
      <c r="J191" s="10" t="s">
        <v>753</v>
      </c>
      <c r="K191" s="11" t="s">
        <v>754</v>
      </c>
      <c r="L191" s="18" t="str">
        <f t="shared" si="4"/>
        <v/>
      </c>
      <c r="M191" s="15" t="str">
        <f t="shared" si="5"/>
        <v>2</v>
      </c>
    </row>
    <row r="192" spans="1:13" ht="56.25" customHeight="1" x14ac:dyDescent="0.3">
      <c r="A192" s="7">
        <v>190</v>
      </c>
      <c r="B192" s="7" t="s">
        <v>606</v>
      </c>
      <c r="C192" s="7" t="s">
        <v>755</v>
      </c>
      <c r="D192" s="8">
        <v>0.14000000000000001</v>
      </c>
      <c r="H192" s="10" t="s">
        <v>681</v>
      </c>
      <c r="I192" s="11" t="s">
        <v>682</v>
      </c>
      <c r="J192" s="10" t="s">
        <v>756</v>
      </c>
      <c r="K192" s="11" t="s">
        <v>757</v>
      </c>
      <c r="L192" s="18" t="str">
        <f t="shared" si="4"/>
        <v/>
      </c>
      <c r="M192" s="15" t="str">
        <f t="shared" si="5"/>
        <v>2</v>
      </c>
    </row>
    <row r="193" spans="1:13" ht="56.25" customHeight="1" x14ac:dyDescent="0.3">
      <c r="A193" s="5">
        <v>191</v>
      </c>
      <c r="B193" s="5" t="s">
        <v>758</v>
      </c>
      <c r="C193" s="5" t="s">
        <v>759</v>
      </c>
      <c r="D193" s="6">
        <v>0.15</v>
      </c>
      <c r="H193" s="10" t="s">
        <v>681</v>
      </c>
      <c r="I193" s="11" t="s">
        <v>682</v>
      </c>
      <c r="J193" s="10" t="s">
        <v>760</v>
      </c>
      <c r="K193" s="11" t="s">
        <v>761</v>
      </c>
      <c r="L193" s="18" t="str">
        <f t="shared" si="4"/>
        <v/>
      </c>
      <c r="M193" s="15" t="str">
        <f t="shared" si="5"/>
        <v>2</v>
      </c>
    </row>
    <row r="194" spans="1:13" ht="56.25" customHeight="1" x14ac:dyDescent="0.3">
      <c r="A194" s="7">
        <v>192</v>
      </c>
      <c r="B194" s="7" t="s">
        <v>762</v>
      </c>
      <c r="C194" s="7" t="s">
        <v>763</v>
      </c>
      <c r="D194" s="8">
        <v>0.15</v>
      </c>
      <c r="H194" s="10" t="s">
        <v>681</v>
      </c>
      <c r="I194" s="11" t="s">
        <v>682</v>
      </c>
      <c r="J194" s="10" t="s">
        <v>764</v>
      </c>
      <c r="K194" s="11" t="s">
        <v>765</v>
      </c>
      <c r="L194" s="18" t="str">
        <f t="shared" si="4"/>
        <v/>
      </c>
      <c r="M194" s="15" t="str">
        <f t="shared" si="5"/>
        <v>2</v>
      </c>
    </row>
    <row r="195" spans="1:13" ht="56.25" customHeight="1" x14ac:dyDescent="0.3">
      <c r="A195" s="5">
        <v>193</v>
      </c>
      <c r="B195" s="5" t="s">
        <v>462</v>
      </c>
      <c r="C195" s="5" t="s">
        <v>766</v>
      </c>
      <c r="D195" s="6">
        <v>0.16</v>
      </c>
      <c r="H195" s="10" t="s">
        <v>681</v>
      </c>
      <c r="I195" s="11" t="s">
        <v>682</v>
      </c>
      <c r="J195" s="10" t="s">
        <v>767</v>
      </c>
      <c r="K195" s="11" t="s">
        <v>768</v>
      </c>
      <c r="L195" s="18" t="str">
        <f t="shared" ref="L195:L258" si="6">IFERROR(INDEX($D$3:$D$704,MATCH(TRIM(J195),$B$3:$B$704,0)),"")</f>
        <v/>
      </c>
      <c r="M195" s="15" t="str">
        <f t="shared" ref="M195:M258" si="7">LEFT(TEXT(H195,"0000")*0.1)</f>
        <v>2</v>
      </c>
    </row>
    <row r="196" spans="1:13" ht="56.25" customHeight="1" x14ac:dyDescent="0.3">
      <c r="A196" s="7">
        <v>194</v>
      </c>
      <c r="B196" s="7" t="s">
        <v>769</v>
      </c>
      <c r="C196" s="7" t="s">
        <v>770</v>
      </c>
      <c r="D196" s="8">
        <v>0.16</v>
      </c>
      <c r="H196" s="10" t="s">
        <v>681</v>
      </c>
      <c r="I196" s="11" t="s">
        <v>682</v>
      </c>
      <c r="J196" s="10" t="s">
        <v>771</v>
      </c>
      <c r="K196" s="11" t="s">
        <v>772</v>
      </c>
      <c r="L196" s="18" t="str">
        <f t="shared" si="6"/>
        <v/>
      </c>
      <c r="M196" s="15" t="str">
        <f t="shared" si="7"/>
        <v>2</v>
      </c>
    </row>
    <row r="197" spans="1:13" ht="56.25" customHeight="1" x14ac:dyDescent="0.3">
      <c r="A197" s="5">
        <v>195</v>
      </c>
      <c r="B197" s="5" t="s">
        <v>104</v>
      </c>
      <c r="C197" s="5" t="s">
        <v>773</v>
      </c>
      <c r="D197" s="6">
        <v>0.16</v>
      </c>
      <c r="H197" s="10" t="s">
        <v>681</v>
      </c>
      <c r="I197" s="11" t="s">
        <v>682</v>
      </c>
      <c r="J197" s="10" t="s">
        <v>774</v>
      </c>
      <c r="K197" s="11" t="s">
        <v>775</v>
      </c>
      <c r="L197" s="18" t="str">
        <f t="shared" si="6"/>
        <v/>
      </c>
      <c r="M197" s="15" t="str">
        <f t="shared" si="7"/>
        <v>2</v>
      </c>
    </row>
    <row r="198" spans="1:13" ht="56.25" customHeight="1" x14ac:dyDescent="0.3">
      <c r="A198" s="7">
        <v>196</v>
      </c>
      <c r="B198" s="7" t="s">
        <v>632</v>
      </c>
      <c r="C198" s="7" t="s">
        <v>776</v>
      </c>
      <c r="D198" s="8">
        <v>0.17</v>
      </c>
      <c r="H198" s="10" t="s">
        <v>681</v>
      </c>
      <c r="I198" s="11" t="s">
        <v>682</v>
      </c>
      <c r="J198" s="10" t="s">
        <v>777</v>
      </c>
      <c r="K198" s="11" t="s">
        <v>778</v>
      </c>
      <c r="L198" s="18" t="str">
        <f t="shared" si="6"/>
        <v/>
      </c>
      <c r="M198" s="15" t="str">
        <f t="shared" si="7"/>
        <v>2</v>
      </c>
    </row>
    <row r="199" spans="1:13" ht="56.25" customHeight="1" x14ac:dyDescent="0.3">
      <c r="A199" s="5">
        <v>197</v>
      </c>
      <c r="B199" s="5" t="s">
        <v>779</v>
      </c>
      <c r="C199" s="5" t="s">
        <v>780</v>
      </c>
      <c r="D199" s="6">
        <v>0.17</v>
      </c>
      <c r="H199" s="10" t="s">
        <v>681</v>
      </c>
      <c r="I199" s="11" t="s">
        <v>682</v>
      </c>
      <c r="J199" s="10" t="s">
        <v>781</v>
      </c>
      <c r="K199" s="11" t="s">
        <v>782</v>
      </c>
      <c r="L199" s="18" t="str">
        <f t="shared" si="6"/>
        <v/>
      </c>
      <c r="M199" s="15" t="str">
        <f t="shared" si="7"/>
        <v>2</v>
      </c>
    </row>
    <row r="200" spans="1:13" ht="56.25" customHeight="1" x14ac:dyDescent="0.3">
      <c r="A200" s="7">
        <v>198</v>
      </c>
      <c r="B200" s="7" t="s">
        <v>783</v>
      </c>
      <c r="C200" s="7" t="s">
        <v>784</v>
      </c>
      <c r="D200" s="8">
        <v>0.17</v>
      </c>
      <c r="H200" s="10" t="s">
        <v>681</v>
      </c>
      <c r="I200" s="11" t="s">
        <v>682</v>
      </c>
      <c r="J200" s="10" t="s">
        <v>785</v>
      </c>
      <c r="K200" s="11" t="s">
        <v>786</v>
      </c>
      <c r="L200" s="18" t="str">
        <f t="shared" si="6"/>
        <v/>
      </c>
      <c r="M200" s="15" t="str">
        <f t="shared" si="7"/>
        <v>2</v>
      </c>
    </row>
    <row r="201" spans="1:13" ht="56.25" customHeight="1" x14ac:dyDescent="0.3">
      <c r="A201" s="5">
        <v>199</v>
      </c>
      <c r="B201" s="5" t="s">
        <v>787</v>
      </c>
      <c r="C201" s="5" t="s">
        <v>788</v>
      </c>
      <c r="D201" s="6">
        <v>0.17</v>
      </c>
      <c r="H201" s="10" t="s">
        <v>681</v>
      </c>
      <c r="I201" s="11" t="s">
        <v>682</v>
      </c>
      <c r="J201" s="10" t="s">
        <v>789</v>
      </c>
      <c r="K201" s="11" t="s">
        <v>790</v>
      </c>
      <c r="L201" s="18" t="str">
        <f t="shared" si="6"/>
        <v/>
      </c>
      <c r="M201" s="15" t="str">
        <f t="shared" si="7"/>
        <v>2</v>
      </c>
    </row>
    <row r="202" spans="1:13" ht="56.25" customHeight="1" x14ac:dyDescent="0.3">
      <c r="A202" s="7">
        <v>200</v>
      </c>
      <c r="B202" s="7" t="s">
        <v>791</v>
      </c>
      <c r="C202" s="7" t="s">
        <v>792</v>
      </c>
      <c r="D202" s="8">
        <v>0.17</v>
      </c>
      <c r="H202" s="10" t="s">
        <v>681</v>
      </c>
      <c r="I202" s="11" t="s">
        <v>682</v>
      </c>
      <c r="J202" s="10" t="s">
        <v>793</v>
      </c>
      <c r="K202" s="11" t="s">
        <v>794</v>
      </c>
      <c r="L202" s="18" t="str">
        <f t="shared" si="6"/>
        <v/>
      </c>
      <c r="M202" s="15" t="str">
        <f t="shared" si="7"/>
        <v>2</v>
      </c>
    </row>
    <row r="203" spans="1:13" ht="56.25" customHeight="1" x14ac:dyDescent="0.3">
      <c r="A203" s="5">
        <v>201</v>
      </c>
      <c r="B203" s="5" t="s">
        <v>795</v>
      </c>
      <c r="C203" s="5" t="s">
        <v>796</v>
      </c>
      <c r="D203" s="6">
        <v>0.18</v>
      </c>
      <c r="H203" s="10" t="s">
        <v>681</v>
      </c>
      <c r="I203" s="11" t="s">
        <v>682</v>
      </c>
      <c r="J203" s="10" t="s">
        <v>797</v>
      </c>
      <c r="K203" s="11" t="s">
        <v>798</v>
      </c>
      <c r="L203" s="18" t="str">
        <f t="shared" si="6"/>
        <v/>
      </c>
      <c r="M203" s="15" t="str">
        <f t="shared" si="7"/>
        <v>2</v>
      </c>
    </row>
    <row r="204" spans="1:13" ht="56.25" customHeight="1" x14ac:dyDescent="0.3">
      <c r="A204" s="7">
        <v>202</v>
      </c>
      <c r="B204" s="7" t="s">
        <v>799</v>
      </c>
      <c r="C204" s="7" t="s">
        <v>800</v>
      </c>
      <c r="D204" s="8">
        <v>0.18</v>
      </c>
      <c r="H204" s="10" t="s">
        <v>681</v>
      </c>
      <c r="I204" s="11" t="s">
        <v>682</v>
      </c>
      <c r="J204" s="10" t="s">
        <v>801</v>
      </c>
      <c r="K204" s="11" t="s">
        <v>802</v>
      </c>
      <c r="L204" s="18" t="str">
        <f t="shared" si="6"/>
        <v/>
      </c>
      <c r="M204" s="15" t="str">
        <f t="shared" si="7"/>
        <v>2</v>
      </c>
    </row>
    <row r="205" spans="1:13" ht="56.25" customHeight="1" x14ac:dyDescent="0.3">
      <c r="A205" s="5">
        <v>203</v>
      </c>
      <c r="B205" s="5" t="s">
        <v>803</v>
      </c>
      <c r="C205" s="5" t="s">
        <v>804</v>
      </c>
      <c r="D205" s="6">
        <v>0.18</v>
      </c>
      <c r="H205" s="10" t="s">
        <v>681</v>
      </c>
      <c r="I205" s="11" t="s">
        <v>682</v>
      </c>
      <c r="J205" s="10" t="s">
        <v>805</v>
      </c>
      <c r="K205" s="11" t="s">
        <v>806</v>
      </c>
      <c r="L205" s="18" t="str">
        <f t="shared" si="6"/>
        <v/>
      </c>
      <c r="M205" s="15" t="str">
        <f t="shared" si="7"/>
        <v>2</v>
      </c>
    </row>
    <row r="206" spans="1:13" ht="56.25" customHeight="1" x14ac:dyDescent="0.3">
      <c r="A206" s="7">
        <v>204</v>
      </c>
      <c r="B206" s="7" t="s">
        <v>807</v>
      </c>
      <c r="C206" s="7" t="s">
        <v>808</v>
      </c>
      <c r="D206" s="8">
        <v>0.18</v>
      </c>
      <c r="H206" s="10" t="s">
        <v>681</v>
      </c>
      <c r="I206" s="11" t="s">
        <v>682</v>
      </c>
      <c r="J206" s="10" t="s">
        <v>809</v>
      </c>
      <c r="K206" s="11" t="s">
        <v>810</v>
      </c>
      <c r="L206" s="18" t="str">
        <f t="shared" si="6"/>
        <v/>
      </c>
      <c r="M206" s="15" t="str">
        <f t="shared" si="7"/>
        <v>2</v>
      </c>
    </row>
    <row r="207" spans="1:13" ht="56.25" customHeight="1" x14ac:dyDescent="0.3">
      <c r="A207" s="5">
        <v>205</v>
      </c>
      <c r="B207" s="5" t="s">
        <v>811</v>
      </c>
      <c r="C207" s="5" t="s">
        <v>812</v>
      </c>
      <c r="D207" s="6">
        <v>0.19</v>
      </c>
      <c r="H207" s="10" t="s">
        <v>681</v>
      </c>
      <c r="I207" s="11" t="s">
        <v>682</v>
      </c>
      <c r="J207" s="10" t="s">
        <v>813</v>
      </c>
      <c r="K207" s="11" t="s">
        <v>814</v>
      </c>
      <c r="L207" s="18" t="str">
        <f t="shared" si="6"/>
        <v/>
      </c>
      <c r="M207" s="15" t="str">
        <f t="shared" si="7"/>
        <v>2</v>
      </c>
    </row>
    <row r="208" spans="1:13" ht="56.25" customHeight="1" x14ac:dyDescent="0.3">
      <c r="A208" s="7">
        <v>206</v>
      </c>
      <c r="B208" s="7" t="s">
        <v>396</v>
      </c>
      <c r="C208" s="7" t="s">
        <v>815</v>
      </c>
      <c r="D208" s="8">
        <v>0.2</v>
      </c>
      <c r="H208" s="10" t="s">
        <v>816</v>
      </c>
      <c r="I208" s="11" t="s">
        <v>817</v>
      </c>
      <c r="J208" s="10" t="s">
        <v>818</v>
      </c>
      <c r="K208" s="11" t="s">
        <v>819</v>
      </c>
      <c r="L208" s="18" t="str">
        <f t="shared" si="6"/>
        <v/>
      </c>
      <c r="M208" s="15" t="str">
        <f t="shared" si="7"/>
        <v>2</v>
      </c>
    </row>
    <row r="209" spans="1:13" ht="56.25" customHeight="1" x14ac:dyDescent="0.3">
      <c r="A209" s="5">
        <v>207</v>
      </c>
      <c r="B209" s="5" t="s">
        <v>820</v>
      </c>
      <c r="C209" s="5" t="s">
        <v>821</v>
      </c>
      <c r="D209" s="6">
        <v>0.2</v>
      </c>
      <c r="H209" s="10" t="s">
        <v>816</v>
      </c>
      <c r="I209" s="11" t="s">
        <v>817</v>
      </c>
      <c r="J209" s="10" t="s">
        <v>822</v>
      </c>
      <c r="K209" s="11" t="s">
        <v>823</v>
      </c>
      <c r="L209" s="18">
        <f t="shared" si="6"/>
        <v>0.26</v>
      </c>
      <c r="M209" s="15" t="str">
        <f t="shared" si="7"/>
        <v>2</v>
      </c>
    </row>
    <row r="210" spans="1:13" ht="56.25" customHeight="1" x14ac:dyDescent="0.3">
      <c r="A210" s="7">
        <v>208</v>
      </c>
      <c r="B210" s="7" t="s">
        <v>824</v>
      </c>
      <c r="C210" s="7" t="s">
        <v>825</v>
      </c>
      <c r="D210" s="8">
        <v>0.21</v>
      </c>
      <c r="H210" s="10" t="s">
        <v>816</v>
      </c>
      <c r="I210" s="11" t="s">
        <v>817</v>
      </c>
      <c r="J210" s="10" t="s">
        <v>187</v>
      </c>
      <c r="K210" s="11" t="s">
        <v>826</v>
      </c>
      <c r="L210" s="18">
        <f t="shared" si="6"/>
        <v>8.8000000000000005E-3</v>
      </c>
      <c r="M210" s="15" t="str">
        <f t="shared" si="7"/>
        <v>2</v>
      </c>
    </row>
    <row r="211" spans="1:13" ht="56.25" customHeight="1" x14ac:dyDescent="0.3">
      <c r="A211" s="5">
        <v>209</v>
      </c>
      <c r="B211" s="5" t="s">
        <v>351</v>
      </c>
      <c r="C211" s="5" t="s">
        <v>352</v>
      </c>
      <c r="D211" s="6">
        <v>0.21</v>
      </c>
      <c r="H211" s="10" t="s">
        <v>827</v>
      </c>
      <c r="I211" s="11" t="s">
        <v>828</v>
      </c>
      <c r="J211" s="10" t="s">
        <v>171</v>
      </c>
      <c r="K211" s="11" t="s">
        <v>829</v>
      </c>
      <c r="L211" s="18">
        <f t="shared" si="6"/>
        <v>7.7999999999999996E-3</v>
      </c>
      <c r="M211" s="15" t="str">
        <f t="shared" si="7"/>
        <v>2</v>
      </c>
    </row>
    <row r="212" spans="1:13" ht="56.25" customHeight="1" x14ac:dyDescent="0.3">
      <c r="A212" s="7">
        <v>210</v>
      </c>
      <c r="B212" s="7" t="s">
        <v>830</v>
      </c>
      <c r="C212" s="7" t="s">
        <v>831</v>
      </c>
      <c r="D212" s="8">
        <v>0.21</v>
      </c>
      <c r="H212" s="10" t="s">
        <v>832</v>
      </c>
      <c r="I212" s="11" t="s">
        <v>833</v>
      </c>
      <c r="J212" s="10" t="s">
        <v>87</v>
      </c>
      <c r="K212" s="11" t="s">
        <v>834</v>
      </c>
      <c r="L212" s="18">
        <f t="shared" si="6"/>
        <v>4.4000000000000003E-3</v>
      </c>
      <c r="M212" s="15" t="str">
        <f t="shared" si="7"/>
        <v>2</v>
      </c>
    </row>
    <row r="213" spans="1:13" ht="56.25" customHeight="1" x14ac:dyDescent="0.3">
      <c r="A213" s="5">
        <v>211</v>
      </c>
      <c r="B213" s="5" t="s">
        <v>835</v>
      </c>
      <c r="C213" s="5" t="s">
        <v>836</v>
      </c>
      <c r="D213" s="6">
        <v>0.21</v>
      </c>
      <c r="H213" s="10" t="s">
        <v>832</v>
      </c>
      <c r="I213" s="11" t="s">
        <v>833</v>
      </c>
      <c r="J213" s="10" t="s">
        <v>791</v>
      </c>
      <c r="K213" s="11" t="s">
        <v>837</v>
      </c>
      <c r="L213" s="18">
        <f t="shared" si="6"/>
        <v>0.17</v>
      </c>
      <c r="M213" s="15" t="str">
        <f t="shared" si="7"/>
        <v>2</v>
      </c>
    </row>
    <row r="214" spans="1:13" ht="56.25" customHeight="1" x14ac:dyDescent="0.3">
      <c r="A214" s="7">
        <v>212</v>
      </c>
      <c r="B214" s="7" t="s">
        <v>838</v>
      </c>
      <c r="C214" s="7" t="s">
        <v>839</v>
      </c>
      <c r="D214" s="8">
        <v>0.22</v>
      </c>
      <c r="H214" s="10" t="s">
        <v>840</v>
      </c>
      <c r="I214" s="12" t="s">
        <v>841</v>
      </c>
      <c r="J214" s="10" t="s">
        <v>155</v>
      </c>
      <c r="K214" s="11" t="s">
        <v>842</v>
      </c>
      <c r="L214" s="18">
        <f t="shared" si="6"/>
        <v>7.4000000000000003E-3</v>
      </c>
      <c r="M214" s="15" t="str">
        <f t="shared" si="7"/>
        <v>2</v>
      </c>
    </row>
    <row r="215" spans="1:13" ht="56.25" customHeight="1" x14ac:dyDescent="0.3">
      <c r="A215" s="5">
        <v>213</v>
      </c>
      <c r="B215" s="5" t="s">
        <v>363</v>
      </c>
      <c r="C215" s="5" t="s">
        <v>364</v>
      </c>
      <c r="D215" s="6">
        <v>0.22</v>
      </c>
      <c r="H215" s="11" t="s">
        <v>840</v>
      </c>
      <c r="I215" s="11" t="s">
        <v>841</v>
      </c>
      <c r="J215" s="11" t="s">
        <v>758</v>
      </c>
      <c r="K215" s="11" t="s">
        <v>843</v>
      </c>
      <c r="L215" s="18">
        <f t="shared" si="6"/>
        <v>0.15</v>
      </c>
      <c r="M215" s="15" t="str">
        <f t="shared" si="7"/>
        <v>2</v>
      </c>
    </row>
    <row r="216" spans="1:13" ht="56.25" customHeight="1" x14ac:dyDescent="0.3">
      <c r="A216" s="7">
        <v>214</v>
      </c>
      <c r="B216" s="7" t="s">
        <v>491</v>
      </c>
      <c r="C216" s="7" t="s">
        <v>844</v>
      </c>
      <c r="D216" s="8">
        <v>0.22</v>
      </c>
      <c r="H216" s="10" t="s">
        <v>845</v>
      </c>
      <c r="I216" s="11" t="s">
        <v>846</v>
      </c>
      <c r="J216" s="10" t="s">
        <v>71</v>
      </c>
      <c r="K216" s="11" t="s">
        <v>847</v>
      </c>
      <c r="L216" s="18">
        <f t="shared" si="6"/>
        <v>4.1999999999999997E-3</v>
      </c>
      <c r="M216" s="15" t="str">
        <f t="shared" si="7"/>
        <v>2</v>
      </c>
    </row>
    <row r="217" spans="1:13" ht="56.25" customHeight="1" x14ac:dyDescent="0.3">
      <c r="A217" s="5">
        <v>215</v>
      </c>
      <c r="B217" s="5" t="s">
        <v>367</v>
      </c>
      <c r="C217" s="5" t="s">
        <v>848</v>
      </c>
      <c r="D217" s="6">
        <v>0.23</v>
      </c>
      <c r="H217" s="10" t="s">
        <v>849</v>
      </c>
      <c r="I217" s="11" t="s">
        <v>850</v>
      </c>
      <c r="J217" s="10" t="s">
        <v>851</v>
      </c>
      <c r="K217" s="11" t="s">
        <v>852</v>
      </c>
      <c r="L217" s="18" t="str">
        <f t="shared" si="6"/>
        <v/>
      </c>
      <c r="M217" s="15" t="str">
        <f t="shared" si="7"/>
        <v>2</v>
      </c>
    </row>
    <row r="218" spans="1:13" ht="56.25" customHeight="1" x14ac:dyDescent="0.3">
      <c r="A218" s="7">
        <v>216</v>
      </c>
      <c r="B218" s="7" t="s">
        <v>853</v>
      </c>
      <c r="C218" s="7" t="s">
        <v>854</v>
      </c>
      <c r="D218" s="8">
        <v>0.23</v>
      </c>
      <c r="H218" s="10" t="s">
        <v>849</v>
      </c>
      <c r="I218" s="11" t="s">
        <v>850</v>
      </c>
      <c r="J218" s="10" t="s">
        <v>855</v>
      </c>
      <c r="K218" s="11" t="s">
        <v>856</v>
      </c>
      <c r="L218" s="18" t="str">
        <f t="shared" si="6"/>
        <v/>
      </c>
      <c r="M218" s="15" t="str">
        <f t="shared" si="7"/>
        <v>2</v>
      </c>
    </row>
    <row r="219" spans="1:13" ht="56.25" customHeight="1" x14ac:dyDescent="0.3">
      <c r="A219" s="5">
        <v>217</v>
      </c>
      <c r="B219" s="5" t="s">
        <v>857</v>
      </c>
      <c r="C219" s="5" t="s">
        <v>858</v>
      </c>
      <c r="D219" s="6">
        <v>0.23</v>
      </c>
      <c r="H219" s="10" t="s">
        <v>849</v>
      </c>
      <c r="I219" s="11" t="s">
        <v>850</v>
      </c>
      <c r="J219" s="10" t="s">
        <v>325</v>
      </c>
      <c r="K219" s="11" t="s">
        <v>859</v>
      </c>
      <c r="L219" s="18">
        <f t="shared" si="6"/>
        <v>1.6E-2</v>
      </c>
      <c r="M219" s="15" t="str">
        <f t="shared" si="7"/>
        <v>2</v>
      </c>
    </row>
    <row r="220" spans="1:13" ht="56.25" customHeight="1" x14ac:dyDescent="0.3">
      <c r="A220" s="7">
        <v>218</v>
      </c>
      <c r="B220" s="7" t="s">
        <v>860</v>
      </c>
      <c r="C220" s="7" t="s">
        <v>861</v>
      </c>
      <c r="D220" s="8">
        <v>0.23</v>
      </c>
      <c r="H220" s="10" t="s">
        <v>849</v>
      </c>
      <c r="I220" s="11" t="s">
        <v>850</v>
      </c>
      <c r="J220" s="10" t="s">
        <v>167</v>
      </c>
      <c r="K220" s="11" t="s">
        <v>862</v>
      </c>
      <c r="L220" s="18">
        <f t="shared" si="6"/>
        <v>7.7000000000000002E-3</v>
      </c>
      <c r="M220" s="15" t="str">
        <f t="shared" si="7"/>
        <v>2</v>
      </c>
    </row>
    <row r="221" spans="1:13" ht="56.25" customHeight="1" x14ac:dyDescent="0.3">
      <c r="A221" s="5">
        <v>219</v>
      </c>
      <c r="B221" s="5" t="s">
        <v>863</v>
      </c>
      <c r="C221" s="5" t="s">
        <v>864</v>
      </c>
      <c r="D221" s="6">
        <v>0.23</v>
      </c>
      <c r="H221" s="10" t="s">
        <v>849</v>
      </c>
      <c r="I221" s="11" t="s">
        <v>850</v>
      </c>
      <c r="J221" s="10" t="s">
        <v>865</v>
      </c>
      <c r="K221" s="11" t="s">
        <v>866</v>
      </c>
      <c r="L221" s="18" t="str">
        <f t="shared" si="6"/>
        <v/>
      </c>
      <c r="M221" s="15" t="str">
        <f t="shared" si="7"/>
        <v>2</v>
      </c>
    </row>
    <row r="222" spans="1:13" ht="56.25" customHeight="1" x14ac:dyDescent="0.3">
      <c r="A222" s="7">
        <v>220</v>
      </c>
      <c r="B222" s="7" t="s">
        <v>867</v>
      </c>
      <c r="C222" s="7" t="s">
        <v>868</v>
      </c>
      <c r="D222" s="8">
        <v>0.24</v>
      </c>
      <c r="H222" s="10" t="s">
        <v>869</v>
      </c>
      <c r="I222" s="11" t="s">
        <v>870</v>
      </c>
      <c r="J222" s="10" t="s">
        <v>811</v>
      </c>
      <c r="K222" s="11" t="s">
        <v>871</v>
      </c>
      <c r="L222" s="18">
        <f t="shared" si="6"/>
        <v>0.19</v>
      </c>
      <c r="M222" s="15" t="str">
        <f t="shared" si="7"/>
        <v>2</v>
      </c>
    </row>
    <row r="223" spans="1:13" ht="56.25" customHeight="1" x14ac:dyDescent="0.3">
      <c r="A223" s="5">
        <v>221</v>
      </c>
      <c r="B223" s="5" t="s">
        <v>872</v>
      </c>
      <c r="C223" s="5" t="s">
        <v>873</v>
      </c>
      <c r="D223" s="6">
        <v>0.24</v>
      </c>
      <c r="H223" s="10" t="s">
        <v>869</v>
      </c>
      <c r="I223" s="11" t="s">
        <v>870</v>
      </c>
      <c r="J223" s="10" t="s">
        <v>742</v>
      </c>
      <c r="K223" s="11" t="s">
        <v>874</v>
      </c>
      <c r="L223" s="18">
        <f t="shared" si="6"/>
        <v>0.13</v>
      </c>
      <c r="M223" s="15" t="str">
        <f t="shared" si="7"/>
        <v>2</v>
      </c>
    </row>
    <row r="224" spans="1:13" ht="56.25" customHeight="1" x14ac:dyDescent="0.3">
      <c r="A224" s="7">
        <v>222</v>
      </c>
      <c r="B224" s="7" t="s">
        <v>875</v>
      </c>
      <c r="C224" s="7" t="s">
        <v>876</v>
      </c>
      <c r="D224" s="8">
        <v>0.25</v>
      </c>
      <c r="H224" s="10" t="s">
        <v>869</v>
      </c>
      <c r="I224" s="11" t="s">
        <v>870</v>
      </c>
      <c r="J224" s="10" t="s">
        <v>877</v>
      </c>
      <c r="K224" s="11" t="s">
        <v>878</v>
      </c>
      <c r="L224" s="18" t="str">
        <f t="shared" si="6"/>
        <v/>
      </c>
      <c r="M224" s="15" t="str">
        <f t="shared" si="7"/>
        <v>2</v>
      </c>
    </row>
    <row r="225" spans="1:13" ht="56.25" customHeight="1" x14ac:dyDescent="0.3">
      <c r="A225" s="5">
        <v>223</v>
      </c>
      <c r="B225" s="5" t="s">
        <v>879</v>
      </c>
      <c r="C225" s="5" t="s">
        <v>880</v>
      </c>
      <c r="D225" s="6">
        <v>0.25</v>
      </c>
      <c r="H225" s="10" t="s">
        <v>881</v>
      </c>
      <c r="I225" s="11" t="s">
        <v>882</v>
      </c>
      <c r="J225" s="10" t="s">
        <v>742</v>
      </c>
      <c r="K225" s="11" t="s">
        <v>874</v>
      </c>
      <c r="L225" s="18">
        <f t="shared" si="6"/>
        <v>0.13</v>
      </c>
      <c r="M225" s="15" t="str">
        <f t="shared" si="7"/>
        <v>2</v>
      </c>
    </row>
    <row r="226" spans="1:13" ht="56.25" customHeight="1" x14ac:dyDescent="0.3">
      <c r="A226" s="7">
        <v>224</v>
      </c>
      <c r="B226" s="7" t="s">
        <v>883</v>
      </c>
      <c r="C226" s="7" t="s">
        <v>884</v>
      </c>
      <c r="D226" s="8">
        <v>0.25</v>
      </c>
      <c r="H226" s="10" t="s">
        <v>885</v>
      </c>
      <c r="I226" s="11" t="s">
        <v>886</v>
      </c>
      <c r="J226" s="10" t="s">
        <v>742</v>
      </c>
      <c r="K226" s="11" t="s">
        <v>874</v>
      </c>
      <c r="L226" s="18">
        <f t="shared" si="6"/>
        <v>0.13</v>
      </c>
      <c r="M226" s="15" t="str">
        <f t="shared" si="7"/>
        <v>2</v>
      </c>
    </row>
    <row r="227" spans="1:13" ht="56.25" customHeight="1" x14ac:dyDescent="0.3">
      <c r="A227" s="5">
        <v>225</v>
      </c>
      <c r="B227" s="5" t="s">
        <v>887</v>
      </c>
      <c r="C227" s="5" t="s">
        <v>888</v>
      </c>
      <c r="D227" s="6">
        <v>0.25</v>
      </c>
      <c r="H227" s="10" t="s">
        <v>885</v>
      </c>
      <c r="I227" s="11" t="s">
        <v>886</v>
      </c>
      <c r="J227" s="10" t="s">
        <v>877</v>
      </c>
      <c r="K227" s="11" t="s">
        <v>878</v>
      </c>
      <c r="L227" s="18" t="str">
        <f t="shared" si="6"/>
        <v/>
      </c>
      <c r="M227" s="15" t="str">
        <f t="shared" si="7"/>
        <v>2</v>
      </c>
    </row>
    <row r="228" spans="1:13" ht="56.25" customHeight="1" x14ac:dyDescent="0.3">
      <c r="A228" s="7">
        <v>226</v>
      </c>
      <c r="B228" s="7" t="s">
        <v>125</v>
      </c>
      <c r="C228" s="7" t="s">
        <v>889</v>
      </c>
      <c r="D228" s="8">
        <v>0.25</v>
      </c>
      <c r="H228" s="10" t="s">
        <v>890</v>
      </c>
      <c r="I228" s="11" t="s">
        <v>891</v>
      </c>
      <c r="J228" s="10" t="s">
        <v>275</v>
      </c>
      <c r="K228" s="11" t="s">
        <v>892</v>
      </c>
      <c r="L228" s="18">
        <f t="shared" si="6"/>
        <v>1.4E-2</v>
      </c>
      <c r="M228" s="15" t="str">
        <f t="shared" si="7"/>
        <v>2</v>
      </c>
    </row>
    <row r="229" spans="1:13" ht="56.25" customHeight="1" x14ac:dyDescent="0.3">
      <c r="A229" s="5">
        <v>227</v>
      </c>
      <c r="B229" s="5" t="s">
        <v>893</v>
      </c>
      <c r="C229" s="5" t="s">
        <v>894</v>
      </c>
      <c r="D229" s="6">
        <v>0.25</v>
      </c>
      <c r="H229" s="11" t="s">
        <v>895</v>
      </c>
      <c r="I229" s="11" t="s">
        <v>896</v>
      </c>
      <c r="J229" s="11" t="s">
        <v>183</v>
      </c>
      <c r="K229" s="11" t="s">
        <v>897</v>
      </c>
      <c r="L229" s="18">
        <f t="shared" si="6"/>
        <v>8.5000000000000006E-3</v>
      </c>
      <c r="M229" s="15" t="str">
        <f t="shared" si="7"/>
        <v>2</v>
      </c>
    </row>
    <row r="230" spans="1:13" ht="56.25" customHeight="1" x14ac:dyDescent="0.3">
      <c r="A230" s="7">
        <v>228</v>
      </c>
      <c r="B230" s="7" t="s">
        <v>898</v>
      </c>
      <c r="C230" s="7" t="s">
        <v>899</v>
      </c>
      <c r="D230" s="8">
        <v>0.25</v>
      </c>
      <c r="H230" s="10" t="s">
        <v>895</v>
      </c>
      <c r="I230" s="11" t="s">
        <v>896</v>
      </c>
      <c r="J230" s="10" t="s">
        <v>877</v>
      </c>
      <c r="K230" s="11" t="s">
        <v>878</v>
      </c>
      <c r="L230" s="18" t="str">
        <f t="shared" si="6"/>
        <v/>
      </c>
      <c r="M230" s="15" t="str">
        <f t="shared" si="7"/>
        <v>2</v>
      </c>
    </row>
    <row r="231" spans="1:13" ht="56.25" customHeight="1" x14ac:dyDescent="0.3">
      <c r="A231" s="5">
        <v>229</v>
      </c>
      <c r="B231" s="5" t="s">
        <v>822</v>
      </c>
      <c r="C231" s="5" t="s">
        <v>900</v>
      </c>
      <c r="D231" s="6">
        <v>0.26</v>
      </c>
      <c r="H231" s="10" t="s">
        <v>895</v>
      </c>
      <c r="I231" s="11" t="s">
        <v>896</v>
      </c>
      <c r="J231" s="10" t="s">
        <v>901</v>
      </c>
      <c r="K231" s="11" t="s">
        <v>902</v>
      </c>
      <c r="L231" s="18" t="str">
        <f t="shared" si="6"/>
        <v/>
      </c>
      <c r="M231" s="15" t="str">
        <f t="shared" si="7"/>
        <v>2</v>
      </c>
    </row>
    <row r="232" spans="1:13" ht="56.25" customHeight="1" x14ac:dyDescent="0.3">
      <c r="A232" s="7">
        <v>230</v>
      </c>
      <c r="B232" s="7" t="s">
        <v>903</v>
      </c>
      <c r="C232" s="7" t="s">
        <v>904</v>
      </c>
      <c r="D232" s="8">
        <v>0.27</v>
      </c>
      <c r="H232" s="10" t="s">
        <v>905</v>
      </c>
      <c r="I232" s="11" t="s">
        <v>906</v>
      </c>
      <c r="J232" s="10" t="s">
        <v>907</v>
      </c>
      <c r="K232" s="11" t="s">
        <v>908</v>
      </c>
      <c r="L232" s="18">
        <f t="shared" si="6"/>
        <v>0.94</v>
      </c>
      <c r="M232" s="15" t="str">
        <f t="shared" si="7"/>
        <v>2</v>
      </c>
    </row>
    <row r="233" spans="1:13" ht="56.25" customHeight="1" x14ac:dyDescent="0.3">
      <c r="A233" s="5">
        <v>231</v>
      </c>
      <c r="B233" s="5" t="s">
        <v>909</v>
      </c>
      <c r="C233" s="5" t="s">
        <v>910</v>
      </c>
      <c r="D233" s="6">
        <v>0.27</v>
      </c>
      <c r="H233" s="10" t="s">
        <v>905</v>
      </c>
      <c r="I233" s="11" t="s">
        <v>906</v>
      </c>
      <c r="J233" s="10" t="s">
        <v>911</v>
      </c>
      <c r="K233" s="11" t="s">
        <v>912</v>
      </c>
      <c r="L233" s="18">
        <f t="shared" si="6"/>
        <v>0.94</v>
      </c>
      <c r="M233" s="15" t="str">
        <f t="shared" si="7"/>
        <v>2</v>
      </c>
    </row>
    <row r="234" spans="1:13" ht="56.25" customHeight="1" x14ac:dyDescent="0.3">
      <c r="A234" s="7">
        <v>232</v>
      </c>
      <c r="B234" s="7" t="s">
        <v>913</v>
      </c>
      <c r="C234" s="7" t="s">
        <v>914</v>
      </c>
      <c r="D234" s="8">
        <v>0.27</v>
      </c>
      <c r="H234" s="10" t="s">
        <v>905</v>
      </c>
      <c r="I234" s="11" t="s">
        <v>906</v>
      </c>
      <c r="J234" s="10" t="s">
        <v>915</v>
      </c>
      <c r="K234" s="11" t="s">
        <v>916</v>
      </c>
      <c r="L234" s="18">
        <f t="shared" si="6"/>
        <v>0.99</v>
      </c>
      <c r="M234" s="15" t="str">
        <f t="shared" si="7"/>
        <v>2</v>
      </c>
    </row>
    <row r="235" spans="1:13" ht="56.25" customHeight="1" x14ac:dyDescent="0.3">
      <c r="A235" s="5">
        <v>233</v>
      </c>
      <c r="B235" s="5" t="s">
        <v>917</v>
      </c>
      <c r="C235" s="5" t="s">
        <v>918</v>
      </c>
      <c r="D235" s="6">
        <v>0.28000000000000003</v>
      </c>
      <c r="H235" s="10" t="s">
        <v>919</v>
      </c>
      <c r="I235" s="11" t="s">
        <v>920</v>
      </c>
      <c r="J235" s="10" t="s">
        <v>857</v>
      </c>
      <c r="K235" s="11" t="s">
        <v>921</v>
      </c>
      <c r="L235" s="18">
        <f t="shared" si="6"/>
        <v>0.23</v>
      </c>
      <c r="M235" s="15" t="str">
        <f t="shared" si="7"/>
        <v>2</v>
      </c>
    </row>
    <row r="236" spans="1:13" ht="56.25" customHeight="1" x14ac:dyDescent="0.3">
      <c r="A236" s="7">
        <v>234</v>
      </c>
      <c r="B236" s="7" t="s">
        <v>922</v>
      </c>
      <c r="C236" s="7" t="s">
        <v>923</v>
      </c>
      <c r="D236" s="8">
        <v>0.28000000000000003</v>
      </c>
      <c r="H236" s="10" t="s">
        <v>919</v>
      </c>
      <c r="I236" s="11" t="s">
        <v>920</v>
      </c>
      <c r="J236" s="10" t="s">
        <v>924</v>
      </c>
      <c r="K236" s="11" t="s">
        <v>925</v>
      </c>
      <c r="L236" s="18">
        <f t="shared" si="6"/>
        <v>0.57999999999999996</v>
      </c>
      <c r="M236" s="15" t="str">
        <f t="shared" si="7"/>
        <v>2</v>
      </c>
    </row>
    <row r="237" spans="1:13" ht="56.25" customHeight="1" x14ac:dyDescent="0.3">
      <c r="A237" s="5">
        <v>235</v>
      </c>
      <c r="B237" s="5" t="s">
        <v>926</v>
      </c>
      <c r="C237" s="5" t="s">
        <v>927</v>
      </c>
      <c r="D237" s="6">
        <v>0.28000000000000003</v>
      </c>
      <c r="H237" s="10" t="s">
        <v>928</v>
      </c>
      <c r="I237" s="11" t="s">
        <v>858</v>
      </c>
      <c r="J237" s="10" t="s">
        <v>929</v>
      </c>
      <c r="K237" s="11" t="s">
        <v>930</v>
      </c>
      <c r="L237" s="18">
        <f t="shared" si="6"/>
        <v>0.98</v>
      </c>
      <c r="M237" s="15" t="str">
        <f t="shared" si="7"/>
        <v>2</v>
      </c>
    </row>
    <row r="238" spans="1:13" ht="56.25" customHeight="1" x14ac:dyDescent="0.3">
      <c r="A238" s="7">
        <v>236</v>
      </c>
      <c r="B238" s="7" t="s">
        <v>931</v>
      </c>
      <c r="C238" s="7" t="s">
        <v>932</v>
      </c>
      <c r="D238" s="8">
        <v>0.28999999999999998</v>
      </c>
      <c r="H238" s="10" t="s">
        <v>928</v>
      </c>
      <c r="I238" s="11" t="s">
        <v>858</v>
      </c>
      <c r="J238" s="10" t="s">
        <v>857</v>
      </c>
      <c r="K238" s="11" t="s">
        <v>921</v>
      </c>
      <c r="L238" s="18">
        <f t="shared" si="6"/>
        <v>0.23</v>
      </c>
      <c r="M238" s="15" t="str">
        <f t="shared" si="7"/>
        <v>2</v>
      </c>
    </row>
    <row r="239" spans="1:13" ht="56.25" customHeight="1" x14ac:dyDescent="0.3">
      <c r="A239" s="5">
        <v>237</v>
      </c>
      <c r="B239" s="5" t="s">
        <v>933</v>
      </c>
      <c r="C239" s="5" t="s">
        <v>934</v>
      </c>
      <c r="D239" s="6">
        <v>0.28999999999999998</v>
      </c>
      <c r="H239" s="10" t="s">
        <v>928</v>
      </c>
      <c r="I239" s="11" t="s">
        <v>858</v>
      </c>
      <c r="J239" s="10" t="s">
        <v>783</v>
      </c>
      <c r="K239" s="11" t="s">
        <v>935</v>
      </c>
      <c r="L239" s="18">
        <f t="shared" si="6"/>
        <v>0.17</v>
      </c>
      <c r="M239" s="15" t="str">
        <f t="shared" si="7"/>
        <v>2</v>
      </c>
    </row>
    <row r="240" spans="1:13" ht="56.25" customHeight="1" x14ac:dyDescent="0.3">
      <c r="A240" s="7">
        <v>238</v>
      </c>
      <c r="B240" s="7" t="s">
        <v>936</v>
      </c>
      <c r="C240" s="7" t="s">
        <v>937</v>
      </c>
      <c r="D240" s="8">
        <v>0.3</v>
      </c>
      <c r="H240" s="10" t="s">
        <v>938</v>
      </c>
      <c r="I240" s="11" t="s">
        <v>939</v>
      </c>
      <c r="J240" s="10" t="s">
        <v>237</v>
      </c>
      <c r="K240" s="11" t="s">
        <v>238</v>
      </c>
      <c r="L240" s="18">
        <f t="shared" si="6"/>
        <v>1.2E-2</v>
      </c>
      <c r="M240" s="15" t="str">
        <f t="shared" si="7"/>
        <v>2</v>
      </c>
    </row>
    <row r="241" spans="1:13" ht="56.25" customHeight="1" x14ac:dyDescent="0.3">
      <c r="A241" s="5">
        <v>239</v>
      </c>
      <c r="B241" s="5" t="s">
        <v>940</v>
      </c>
      <c r="C241" s="5" t="s">
        <v>941</v>
      </c>
      <c r="D241" s="6">
        <v>0.3</v>
      </c>
      <c r="H241" s="10" t="s">
        <v>938</v>
      </c>
      <c r="I241" s="11" t="s">
        <v>939</v>
      </c>
      <c r="J241" s="10" t="s">
        <v>727</v>
      </c>
      <c r="K241" s="11" t="s">
        <v>942</v>
      </c>
      <c r="L241" s="18">
        <f t="shared" si="6"/>
        <v>0.13</v>
      </c>
      <c r="M241" s="15" t="str">
        <f t="shared" si="7"/>
        <v>2</v>
      </c>
    </row>
    <row r="242" spans="1:13" ht="56.25" customHeight="1" x14ac:dyDescent="0.3">
      <c r="A242" s="7">
        <v>240</v>
      </c>
      <c r="B242" s="7" t="s">
        <v>389</v>
      </c>
      <c r="C242" s="7" t="s">
        <v>943</v>
      </c>
      <c r="D242" s="8">
        <v>0.3</v>
      </c>
      <c r="H242" s="10" t="s">
        <v>944</v>
      </c>
      <c r="I242" s="11" t="s">
        <v>945</v>
      </c>
      <c r="J242" s="10" t="s">
        <v>853</v>
      </c>
      <c r="K242" s="11" t="s">
        <v>946</v>
      </c>
      <c r="L242" s="18">
        <f t="shared" si="6"/>
        <v>0.23</v>
      </c>
      <c r="M242" s="15" t="str">
        <f t="shared" si="7"/>
        <v>2</v>
      </c>
    </row>
    <row r="243" spans="1:13" ht="56.25" customHeight="1" x14ac:dyDescent="0.3">
      <c r="A243" s="5">
        <v>241</v>
      </c>
      <c r="B243" s="5" t="s">
        <v>947</v>
      </c>
      <c r="C243" s="5" t="s">
        <v>948</v>
      </c>
      <c r="D243" s="6">
        <v>0.3</v>
      </c>
      <c r="H243" s="10" t="s">
        <v>949</v>
      </c>
      <c r="I243" s="11" t="s">
        <v>950</v>
      </c>
      <c r="J243" s="10" t="s">
        <v>951</v>
      </c>
      <c r="K243" s="11" t="s">
        <v>952</v>
      </c>
      <c r="L243" s="18" t="str">
        <f t="shared" si="6"/>
        <v/>
      </c>
      <c r="M243" s="15" t="str">
        <f t="shared" si="7"/>
        <v>2</v>
      </c>
    </row>
    <row r="244" spans="1:13" ht="56.25" customHeight="1" x14ac:dyDescent="0.3">
      <c r="A244" s="7">
        <v>242</v>
      </c>
      <c r="B244" s="7" t="s">
        <v>953</v>
      </c>
      <c r="C244" s="7" t="s">
        <v>954</v>
      </c>
      <c r="D244" s="8">
        <v>0.31</v>
      </c>
      <c r="H244" s="11" t="s">
        <v>949</v>
      </c>
      <c r="I244" s="11" t="s">
        <v>950</v>
      </c>
      <c r="J244" s="11" t="s">
        <v>955</v>
      </c>
      <c r="K244" s="11" t="s">
        <v>956</v>
      </c>
      <c r="L244" s="18" t="str">
        <f t="shared" si="6"/>
        <v/>
      </c>
      <c r="M244" s="15" t="str">
        <f t="shared" si="7"/>
        <v>2</v>
      </c>
    </row>
    <row r="245" spans="1:13" ht="56.25" customHeight="1" x14ac:dyDescent="0.3">
      <c r="A245" s="5">
        <v>243</v>
      </c>
      <c r="B245" s="5" t="s">
        <v>957</v>
      </c>
      <c r="C245" s="5" t="s">
        <v>958</v>
      </c>
      <c r="D245" s="6">
        <v>0.31</v>
      </c>
      <c r="H245" s="10" t="s">
        <v>949</v>
      </c>
      <c r="I245" s="11" t="s">
        <v>950</v>
      </c>
      <c r="J245" s="10" t="s">
        <v>959</v>
      </c>
      <c r="K245" s="11" t="s">
        <v>960</v>
      </c>
      <c r="L245" s="18">
        <f t="shared" si="6"/>
        <v>0.47</v>
      </c>
      <c r="M245" s="15" t="str">
        <f t="shared" si="7"/>
        <v>2</v>
      </c>
    </row>
    <row r="246" spans="1:13" ht="56.25" customHeight="1" x14ac:dyDescent="0.3">
      <c r="A246" s="7">
        <v>244</v>
      </c>
      <c r="B246" s="7" t="s">
        <v>961</v>
      </c>
      <c r="C246" s="7" t="s">
        <v>962</v>
      </c>
      <c r="D246" s="8">
        <v>0.31</v>
      </c>
      <c r="H246" s="10" t="s">
        <v>949</v>
      </c>
      <c r="I246" s="11" t="s">
        <v>950</v>
      </c>
      <c r="J246" s="10" t="s">
        <v>183</v>
      </c>
      <c r="K246" s="11" t="s">
        <v>897</v>
      </c>
      <c r="L246" s="18">
        <f t="shared" si="6"/>
        <v>8.5000000000000006E-3</v>
      </c>
      <c r="M246" s="15" t="str">
        <f t="shared" si="7"/>
        <v>2</v>
      </c>
    </row>
    <row r="247" spans="1:13" ht="56.25" customHeight="1" x14ac:dyDescent="0.3">
      <c r="A247" s="5">
        <v>245</v>
      </c>
      <c r="B247" s="5" t="s">
        <v>963</v>
      </c>
      <c r="C247" s="5" t="s">
        <v>964</v>
      </c>
      <c r="D247" s="6">
        <v>0.33</v>
      </c>
      <c r="H247" s="10" t="s">
        <v>965</v>
      </c>
      <c r="I247" s="11" t="s">
        <v>966</v>
      </c>
      <c r="J247" s="10" t="s">
        <v>275</v>
      </c>
      <c r="K247" s="11" t="s">
        <v>892</v>
      </c>
      <c r="L247" s="18">
        <f t="shared" si="6"/>
        <v>1.4E-2</v>
      </c>
      <c r="M247" s="15" t="str">
        <f t="shared" si="7"/>
        <v>2</v>
      </c>
    </row>
    <row r="248" spans="1:13" ht="56.25" customHeight="1" x14ac:dyDescent="0.3">
      <c r="A248" s="7">
        <v>246</v>
      </c>
      <c r="B248" s="7" t="s">
        <v>967</v>
      </c>
      <c r="C248" s="7" t="s">
        <v>968</v>
      </c>
      <c r="D248" s="8">
        <v>0.34</v>
      </c>
      <c r="H248" s="10" t="s">
        <v>969</v>
      </c>
      <c r="I248" s="11" t="s">
        <v>970</v>
      </c>
      <c r="J248" s="10" t="s">
        <v>971</v>
      </c>
      <c r="K248" s="11" t="s">
        <v>972</v>
      </c>
      <c r="L248" s="18">
        <f t="shared" si="6"/>
        <v>0.61</v>
      </c>
      <c r="M248" s="15" t="str">
        <f t="shared" si="7"/>
        <v>2</v>
      </c>
    </row>
    <row r="249" spans="1:13" ht="56.25" customHeight="1" x14ac:dyDescent="0.3">
      <c r="A249" s="5">
        <v>247</v>
      </c>
      <c r="B249" s="5" t="s">
        <v>973</v>
      </c>
      <c r="C249" s="5" t="s">
        <v>974</v>
      </c>
      <c r="D249" s="6">
        <v>0.34</v>
      </c>
      <c r="H249" s="10" t="s">
        <v>969</v>
      </c>
      <c r="I249" s="11" t="s">
        <v>970</v>
      </c>
      <c r="J249" s="10" t="s">
        <v>504</v>
      </c>
      <c r="K249" s="11" t="s">
        <v>975</v>
      </c>
      <c r="L249" s="18">
        <f t="shared" si="6"/>
        <v>3.7999999999999999E-2</v>
      </c>
      <c r="M249" s="15" t="str">
        <f t="shared" si="7"/>
        <v>2</v>
      </c>
    </row>
    <row r="250" spans="1:13" ht="56.25" customHeight="1" x14ac:dyDescent="0.3">
      <c r="A250" s="7">
        <v>248</v>
      </c>
      <c r="B250" s="7" t="s">
        <v>976</v>
      </c>
      <c r="C250" s="7" t="s">
        <v>977</v>
      </c>
      <c r="D250" s="8">
        <v>0.34</v>
      </c>
      <c r="H250" s="10" t="s">
        <v>978</v>
      </c>
      <c r="I250" s="11" t="s">
        <v>979</v>
      </c>
      <c r="J250" s="10" t="s">
        <v>795</v>
      </c>
      <c r="K250" s="11" t="s">
        <v>980</v>
      </c>
      <c r="L250" s="18">
        <f t="shared" si="6"/>
        <v>0.18</v>
      </c>
      <c r="M250" s="15" t="str">
        <f t="shared" si="7"/>
        <v>2</v>
      </c>
    </row>
    <row r="251" spans="1:13" ht="56.25" customHeight="1" x14ac:dyDescent="0.3">
      <c r="A251" s="5">
        <v>249</v>
      </c>
      <c r="B251" s="5" t="s">
        <v>981</v>
      </c>
      <c r="C251" s="5" t="s">
        <v>982</v>
      </c>
      <c r="D251" s="6">
        <v>0.35</v>
      </c>
      <c r="H251" s="11" t="s">
        <v>983</v>
      </c>
      <c r="I251" s="11" t="s">
        <v>984</v>
      </c>
      <c r="J251" s="11" t="s">
        <v>634</v>
      </c>
      <c r="K251" s="11" t="s">
        <v>985</v>
      </c>
      <c r="L251" s="18">
        <f t="shared" si="6"/>
        <v>7.4999999999999997E-2</v>
      </c>
      <c r="M251" s="15" t="str">
        <f t="shared" si="7"/>
        <v>2</v>
      </c>
    </row>
    <row r="252" spans="1:13" ht="56.25" customHeight="1" x14ac:dyDescent="0.3">
      <c r="A252" s="7">
        <v>250</v>
      </c>
      <c r="B252" s="7" t="s">
        <v>986</v>
      </c>
      <c r="C252" s="7" t="s">
        <v>987</v>
      </c>
      <c r="D252" s="8">
        <v>0.35</v>
      </c>
      <c r="H252" s="10" t="s">
        <v>983</v>
      </c>
      <c r="I252" s="11" t="s">
        <v>984</v>
      </c>
      <c r="J252" s="10" t="s">
        <v>898</v>
      </c>
      <c r="K252" s="11" t="s">
        <v>988</v>
      </c>
      <c r="L252" s="18">
        <f t="shared" si="6"/>
        <v>0.25</v>
      </c>
      <c r="M252" s="15" t="str">
        <f t="shared" si="7"/>
        <v>2</v>
      </c>
    </row>
    <row r="253" spans="1:13" ht="56.25" customHeight="1" x14ac:dyDescent="0.3">
      <c r="A253" s="5">
        <v>251</v>
      </c>
      <c r="B253" s="5" t="s">
        <v>989</v>
      </c>
      <c r="C253" s="5" t="s">
        <v>990</v>
      </c>
      <c r="D253" s="6">
        <v>0.35</v>
      </c>
      <c r="H253" s="11" t="s">
        <v>991</v>
      </c>
      <c r="I253" s="11" t="s">
        <v>992</v>
      </c>
      <c r="J253" s="11" t="s">
        <v>634</v>
      </c>
      <c r="K253" s="11" t="s">
        <v>985</v>
      </c>
      <c r="L253" s="18">
        <f t="shared" si="6"/>
        <v>7.4999999999999997E-2</v>
      </c>
      <c r="M253" s="15" t="str">
        <f t="shared" si="7"/>
        <v>2</v>
      </c>
    </row>
    <row r="254" spans="1:13" ht="56.25" customHeight="1" x14ac:dyDescent="0.3">
      <c r="A254" s="7">
        <v>252</v>
      </c>
      <c r="B254" s="7" t="s">
        <v>993</v>
      </c>
      <c r="C254" s="7" t="s">
        <v>994</v>
      </c>
      <c r="D254" s="8">
        <v>0.36</v>
      </c>
      <c r="H254" s="10" t="s">
        <v>991</v>
      </c>
      <c r="I254" s="11" t="s">
        <v>992</v>
      </c>
      <c r="J254" s="10" t="s">
        <v>898</v>
      </c>
      <c r="K254" s="11" t="s">
        <v>988</v>
      </c>
      <c r="L254" s="18">
        <f t="shared" si="6"/>
        <v>0.25</v>
      </c>
      <c r="M254" s="15" t="str">
        <f t="shared" si="7"/>
        <v>2</v>
      </c>
    </row>
    <row r="255" spans="1:13" ht="56.25" customHeight="1" x14ac:dyDescent="0.3">
      <c r="A255" s="5">
        <v>253</v>
      </c>
      <c r="B255" s="5" t="s">
        <v>995</v>
      </c>
      <c r="C255" s="5" t="s">
        <v>996</v>
      </c>
      <c r="D255" s="6">
        <v>0.36</v>
      </c>
      <c r="H255" s="10" t="s">
        <v>991</v>
      </c>
      <c r="I255" s="11" t="s">
        <v>992</v>
      </c>
      <c r="J255" s="10" t="s">
        <v>63</v>
      </c>
      <c r="K255" s="11" t="s">
        <v>997</v>
      </c>
      <c r="L255" s="18">
        <f t="shared" si="6"/>
        <v>4.1000000000000003E-3</v>
      </c>
      <c r="M255" s="15" t="str">
        <f t="shared" si="7"/>
        <v>2</v>
      </c>
    </row>
    <row r="256" spans="1:13" ht="56.25" customHeight="1" x14ac:dyDescent="0.3">
      <c r="A256" s="7">
        <v>254</v>
      </c>
      <c r="B256" s="7" t="s">
        <v>998</v>
      </c>
      <c r="C256" s="7" t="s">
        <v>999</v>
      </c>
      <c r="D256" s="8">
        <v>0.36</v>
      </c>
      <c r="H256" s="10" t="s">
        <v>1000</v>
      </c>
      <c r="I256" s="11" t="s">
        <v>1001</v>
      </c>
      <c r="J256" s="10" t="s">
        <v>295</v>
      </c>
      <c r="K256" s="11" t="s">
        <v>1002</v>
      </c>
      <c r="L256" s="18">
        <f t="shared" si="6"/>
        <v>1.4999999999999999E-2</v>
      </c>
      <c r="M256" s="15" t="str">
        <f t="shared" si="7"/>
        <v>2</v>
      </c>
    </row>
    <row r="257" spans="1:13" ht="56.25" customHeight="1" x14ac:dyDescent="0.3">
      <c r="A257" s="5">
        <v>255</v>
      </c>
      <c r="B257" s="5" t="s">
        <v>1003</v>
      </c>
      <c r="C257" s="5" t="s">
        <v>1004</v>
      </c>
      <c r="D257" s="6">
        <v>0.37</v>
      </c>
      <c r="H257" s="10" t="s">
        <v>1000</v>
      </c>
      <c r="I257" s="11" t="s">
        <v>1001</v>
      </c>
      <c r="J257" s="10" t="s">
        <v>133</v>
      </c>
      <c r="K257" s="11" t="s">
        <v>1005</v>
      </c>
      <c r="L257" s="18">
        <f t="shared" si="6"/>
        <v>6.4999999999999997E-3</v>
      </c>
      <c r="M257" s="15" t="str">
        <f t="shared" si="7"/>
        <v>2</v>
      </c>
    </row>
    <row r="258" spans="1:13" ht="56.25" customHeight="1" x14ac:dyDescent="0.3">
      <c r="A258" s="7">
        <v>256</v>
      </c>
      <c r="B258" s="7" t="s">
        <v>1006</v>
      </c>
      <c r="C258" s="7" t="s">
        <v>1007</v>
      </c>
      <c r="D258" s="8">
        <v>0.37</v>
      </c>
      <c r="H258" s="10" t="s">
        <v>1008</v>
      </c>
      <c r="I258" s="11" t="s">
        <v>1009</v>
      </c>
      <c r="J258" s="10" t="s">
        <v>535</v>
      </c>
      <c r="K258" s="11" t="s">
        <v>1010</v>
      </c>
      <c r="L258" s="18">
        <f t="shared" si="6"/>
        <v>4.2000000000000003E-2</v>
      </c>
      <c r="M258" s="15" t="str">
        <f t="shared" si="7"/>
        <v>2</v>
      </c>
    </row>
    <row r="259" spans="1:13" ht="56.25" customHeight="1" x14ac:dyDescent="0.3">
      <c r="A259" s="5">
        <v>257</v>
      </c>
      <c r="B259" s="5" t="s">
        <v>1011</v>
      </c>
      <c r="C259" s="5" t="s">
        <v>1012</v>
      </c>
      <c r="D259" s="6">
        <v>0.37</v>
      </c>
      <c r="H259" s="10" t="s">
        <v>1008</v>
      </c>
      <c r="I259" s="11" t="s">
        <v>1009</v>
      </c>
      <c r="J259" s="10" t="s">
        <v>723</v>
      </c>
      <c r="K259" s="11" t="s">
        <v>1013</v>
      </c>
      <c r="L259" s="18">
        <f t="shared" ref="L259:L322" si="8">IFERROR(INDEX($D$3:$D$704,MATCH(TRIM(J259),$B$3:$B$704,0)),"")</f>
        <v>0.13</v>
      </c>
      <c r="M259" s="15" t="str">
        <f t="shared" ref="M259:M322" si="9">LEFT(TEXT(H259,"0000")*0.1)</f>
        <v>2</v>
      </c>
    </row>
    <row r="260" spans="1:13" ht="56.25" customHeight="1" x14ac:dyDescent="0.3">
      <c r="A260" s="7">
        <v>258</v>
      </c>
      <c r="B260" s="7" t="s">
        <v>1014</v>
      </c>
      <c r="C260" s="7" t="s">
        <v>1015</v>
      </c>
      <c r="D260" s="8">
        <v>0.37</v>
      </c>
      <c r="H260" s="10" t="s">
        <v>1016</v>
      </c>
      <c r="I260" s="11" t="s">
        <v>1017</v>
      </c>
      <c r="J260" s="10" t="s">
        <v>1018</v>
      </c>
      <c r="K260" s="11" t="s">
        <v>1019</v>
      </c>
      <c r="L260" s="18" t="str">
        <f t="shared" si="8"/>
        <v/>
      </c>
      <c r="M260" s="15" t="str">
        <f t="shared" si="9"/>
        <v>2</v>
      </c>
    </row>
    <row r="261" spans="1:13" ht="56.25" customHeight="1" x14ac:dyDescent="0.3">
      <c r="A261" s="5">
        <v>259</v>
      </c>
      <c r="B261" s="5" t="s">
        <v>1020</v>
      </c>
      <c r="C261" s="5" t="s">
        <v>1021</v>
      </c>
      <c r="D261" s="6">
        <v>0.37</v>
      </c>
      <c r="H261" s="10" t="s">
        <v>1022</v>
      </c>
      <c r="I261" s="11" t="s">
        <v>1023</v>
      </c>
      <c r="J261" s="10" t="s">
        <v>1024</v>
      </c>
      <c r="K261" s="11" t="s">
        <v>1025</v>
      </c>
      <c r="L261" s="18">
        <f t="shared" si="8"/>
        <v>0.48</v>
      </c>
      <c r="M261" s="15" t="str">
        <f t="shared" si="9"/>
        <v>2</v>
      </c>
    </row>
    <row r="262" spans="1:13" ht="56.25" customHeight="1" x14ac:dyDescent="0.3">
      <c r="A262" s="7">
        <v>260</v>
      </c>
      <c r="B262" s="7" t="s">
        <v>1026</v>
      </c>
      <c r="C262" s="7" t="s">
        <v>1027</v>
      </c>
      <c r="D262" s="8">
        <v>0.37</v>
      </c>
      <c r="H262" s="10" t="s">
        <v>1028</v>
      </c>
      <c r="I262" s="11" t="s">
        <v>1029</v>
      </c>
      <c r="J262" s="10" t="s">
        <v>1030</v>
      </c>
      <c r="K262" s="11" t="s">
        <v>1031</v>
      </c>
      <c r="L262" s="18" t="str">
        <f t="shared" si="8"/>
        <v/>
      </c>
      <c r="M262" s="15" t="str">
        <f t="shared" si="9"/>
        <v>2</v>
      </c>
    </row>
    <row r="263" spans="1:13" ht="56.25" customHeight="1" x14ac:dyDescent="0.3">
      <c r="A263" s="5">
        <v>261</v>
      </c>
      <c r="B263" s="5" t="s">
        <v>1032</v>
      </c>
      <c r="C263" s="5" t="s">
        <v>1033</v>
      </c>
      <c r="D263" s="6">
        <v>0.38</v>
      </c>
      <c r="H263" s="10" t="s">
        <v>1034</v>
      </c>
      <c r="I263" s="11" t="s">
        <v>1035</v>
      </c>
      <c r="J263" s="10" t="s">
        <v>457</v>
      </c>
      <c r="K263" s="11" t="s">
        <v>1036</v>
      </c>
      <c r="L263" s="18">
        <f t="shared" si="8"/>
        <v>0.03</v>
      </c>
      <c r="M263" s="15" t="str">
        <f t="shared" si="9"/>
        <v>2</v>
      </c>
    </row>
    <row r="264" spans="1:13" ht="56.25" customHeight="1" x14ac:dyDescent="0.3">
      <c r="A264" s="7">
        <v>262</v>
      </c>
      <c r="B264" s="7" t="s">
        <v>533</v>
      </c>
      <c r="C264" s="7" t="s">
        <v>534</v>
      </c>
      <c r="D264" s="8">
        <v>0.38</v>
      </c>
      <c r="H264" s="10" t="s">
        <v>1037</v>
      </c>
      <c r="I264" s="11" t="s">
        <v>1038</v>
      </c>
      <c r="J264" s="10" t="s">
        <v>452</v>
      </c>
      <c r="K264" s="11" t="s">
        <v>1039</v>
      </c>
      <c r="L264" s="18">
        <f t="shared" si="8"/>
        <v>0.03</v>
      </c>
      <c r="M264" s="15" t="str">
        <f t="shared" si="9"/>
        <v>2</v>
      </c>
    </row>
    <row r="265" spans="1:13" ht="56.25" customHeight="1" x14ac:dyDescent="0.3">
      <c r="A265" s="5">
        <v>263</v>
      </c>
      <c r="B265" s="5" t="s">
        <v>1040</v>
      </c>
      <c r="C265" s="5" t="s">
        <v>1041</v>
      </c>
      <c r="D265" s="6">
        <v>0.38</v>
      </c>
      <c r="H265" s="10" t="s">
        <v>1042</v>
      </c>
      <c r="I265" s="11" t="s">
        <v>1043</v>
      </c>
      <c r="J265" s="10" t="s">
        <v>1044</v>
      </c>
      <c r="K265" s="11" t="s">
        <v>1045</v>
      </c>
      <c r="L265" s="18" t="str">
        <f t="shared" si="8"/>
        <v/>
      </c>
      <c r="M265" s="15" t="str">
        <f t="shared" si="9"/>
        <v>2</v>
      </c>
    </row>
    <row r="266" spans="1:13" ht="56.25" customHeight="1" x14ac:dyDescent="0.3">
      <c r="A266" s="7">
        <v>264</v>
      </c>
      <c r="B266" s="7" t="s">
        <v>1046</v>
      </c>
      <c r="C266" s="7" t="s">
        <v>1047</v>
      </c>
      <c r="D266" s="8">
        <v>0.38</v>
      </c>
      <c r="H266" s="10" t="s">
        <v>1048</v>
      </c>
      <c r="I266" s="11" t="s">
        <v>1049</v>
      </c>
      <c r="J266" s="10" t="s">
        <v>1050</v>
      </c>
      <c r="K266" s="11" t="s">
        <v>1051</v>
      </c>
      <c r="L266" s="18" t="str">
        <f t="shared" si="8"/>
        <v/>
      </c>
      <c r="M266" s="15" t="str">
        <f t="shared" si="9"/>
        <v>2</v>
      </c>
    </row>
    <row r="267" spans="1:13" ht="56.25" customHeight="1" x14ac:dyDescent="0.3">
      <c r="A267" s="5">
        <v>265</v>
      </c>
      <c r="B267" s="5" t="s">
        <v>1052</v>
      </c>
      <c r="C267" s="5" t="s">
        <v>1053</v>
      </c>
      <c r="D267" s="6">
        <v>0.38</v>
      </c>
      <c r="H267" s="10" t="s">
        <v>1048</v>
      </c>
      <c r="I267" s="11" t="s">
        <v>1049</v>
      </c>
      <c r="J267" s="10" t="s">
        <v>1030</v>
      </c>
      <c r="K267" s="11" t="s">
        <v>1031</v>
      </c>
      <c r="L267" s="18" t="str">
        <f t="shared" si="8"/>
        <v/>
      </c>
      <c r="M267" s="15" t="str">
        <f t="shared" si="9"/>
        <v>2</v>
      </c>
    </row>
    <row r="268" spans="1:13" ht="56.25" customHeight="1" x14ac:dyDescent="0.3">
      <c r="A268" s="7">
        <v>266</v>
      </c>
      <c r="B268" s="7" t="s">
        <v>1054</v>
      </c>
      <c r="C268" s="7" t="s">
        <v>1055</v>
      </c>
      <c r="D268" s="8">
        <v>0.39</v>
      </c>
      <c r="H268" s="10" t="s">
        <v>1056</v>
      </c>
      <c r="I268" s="11" t="s">
        <v>475</v>
      </c>
      <c r="J268" s="10" t="s">
        <v>474</v>
      </c>
      <c r="K268" s="11" t="s">
        <v>475</v>
      </c>
      <c r="L268" s="18">
        <f t="shared" si="8"/>
        <v>3.5000000000000003E-2</v>
      </c>
      <c r="M268" s="15" t="str">
        <f t="shared" si="9"/>
        <v>2</v>
      </c>
    </row>
    <row r="269" spans="1:13" ht="56.25" customHeight="1" x14ac:dyDescent="0.3">
      <c r="A269" s="5">
        <v>267</v>
      </c>
      <c r="B269" s="5" t="s">
        <v>1057</v>
      </c>
      <c r="C269" s="5" t="s">
        <v>1058</v>
      </c>
      <c r="D269" s="6">
        <v>0.39</v>
      </c>
      <c r="H269" s="10" t="s">
        <v>1059</v>
      </c>
      <c r="I269" s="11" t="s">
        <v>1060</v>
      </c>
      <c r="J269" s="10" t="s">
        <v>1061</v>
      </c>
      <c r="K269" s="11" t="s">
        <v>1062</v>
      </c>
      <c r="L269" s="18">
        <f t="shared" si="8"/>
        <v>0.64</v>
      </c>
      <c r="M269" s="15" t="str">
        <f t="shared" si="9"/>
        <v>2</v>
      </c>
    </row>
    <row r="270" spans="1:13" ht="56.25" customHeight="1" x14ac:dyDescent="0.3">
      <c r="A270" s="7">
        <v>268</v>
      </c>
      <c r="B270" s="7" t="s">
        <v>1063</v>
      </c>
      <c r="C270" s="7" t="s">
        <v>1064</v>
      </c>
      <c r="D270" s="8">
        <v>0.39</v>
      </c>
      <c r="H270" s="10" t="s">
        <v>1059</v>
      </c>
      <c r="I270" s="11" t="s">
        <v>1060</v>
      </c>
      <c r="J270" s="10" t="s">
        <v>1065</v>
      </c>
      <c r="K270" s="11" t="s">
        <v>1066</v>
      </c>
      <c r="L270" s="18">
        <f t="shared" si="8"/>
        <v>0.4</v>
      </c>
      <c r="M270" s="15" t="str">
        <f t="shared" si="9"/>
        <v>2</v>
      </c>
    </row>
    <row r="271" spans="1:13" ht="56.25" customHeight="1" x14ac:dyDescent="0.3">
      <c r="A271" s="5">
        <v>269</v>
      </c>
      <c r="B271" s="5" t="s">
        <v>1067</v>
      </c>
      <c r="C271" s="5" t="s">
        <v>1068</v>
      </c>
      <c r="D271" s="6">
        <v>0.39</v>
      </c>
      <c r="H271" s="10" t="s">
        <v>1069</v>
      </c>
      <c r="I271" s="11" t="s">
        <v>1070</v>
      </c>
      <c r="J271" s="10" t="s">
        <v>602</v>
      </c>
      <c r="K271" s="11" t="s">
        <v>1071</v>
      </c>
      <c r="L271" s="18">
        <f t="shared" si="8"/>
        <v>0.06</v>
      </c>
      <c r="M271" s="15" t="str">
        <f t="shared" si="9"/>
        <v>2</v>
      </c>
    </row>
    <row r="272" spans="1:13" ht="56.25" customHeight="1" x14ac:dyDescent="0.3">
      <c r="A272" s="7">
        <v>270</v>
      </c>
      <c r="B272" s="7" t="s">
        <v>1072</v>
      </c>
      <c r="C272" s="7" t="s">
        <v>1073</v>
      </c>
      <c r="D272" s="8">
        <v>0.39</v>
      </c>
      <c r="H272" s="10" t="s">
        <v>1074</v>
      </c>
      <c r="I272" s="11" t="s">
        <v>1075</v>
      </c>
      <c r="J272" s="10" t="s">
        <v>1076</v>
      </c>
      <c r="K272" s="11" t="s">
        <v>1077</v>
      </c>
      <c r="L272" s="18">
        <f t="shared" si="8"/>
        <v>0.76</v>
      </c>
      <c r="M272" s="15" t="str">
        <f t="shared" si="9"/>
        <v>2</v>
      </c>
    </row>
    <row r="273" spans="1:13" ht="56.25" customHeight="1" x14ac:dyDescent="0.3">
      <c r="A273" s="5">
        <v>271</v>
      </c>
      <c r="B273" s="5" t="s">
        <v>1065</v>
      </c>
      <c r="C273" s="5" t="s">
        <v>1078</v>
      </c>
      <c r="D273" s="6">
        <v>0.4</v>
      </c>
      <c r="H273" s="10" t="s">
        <v>1074</v>
      </c>
      <c r="I273" s="11" t="s">
        <v>1075</v>
      </c>
      <c r="J273" s="10" t="s">
        <v>145</v>
      </c>
      <c r="K273" s="11" t="s">
        <v>146</v>
      </c>
      <c r="L273" s="18">
        <f t="shared" si="8"/>
        <v>6.7999999999999996E-3</v>
      </c>
      <c r="M273" s="15" t="str">
        <f t="shared" si="9"/>
        <v>2</v>
      </c>
    </row>
    <row r="274" spans="1:13" ht="56.25" customHeight="1" x14ac:dyDescent="0.3">
      <c r="A274" s="7">
        <v>272</v>
      </c>
      <c r="B274" s="7" t="s">
        <v>1079</v>
      </c>
      <c r="C274" s="7" t="s">
        <v>1080</v>
      </c>
      <c r="D274" s="8">
        <v>0.4</v>
      </c>
      <c r="H274" s="10" t="s">
        <v>1081</v>
      </c>
      <c r="I274" s="11" t="s">
        <v>1082</v>
      </c>
      <c r="J274" s="10" t="s">
        <v>1083</v>
      </c>
      <c r="K274" s="11" t="s">
        <v>1084</v>
      </c>
      <c r="L274" s="18">
        <f t="shared" si="8"/>
        <v>0.65</v>
      </c>
      <c r="M274" s="15" t="str">
        <f t="shared" si="9"/>
        <v>2</v>
      </c>
    </row>
    <row r="275" spans="1:13" ht="56.25" customHeight="1" x14ac:dyDescent="0.3">
      <c r="A275" s="5">
        <v>273</v>
      </c>
      <c r="B275" s="5" t="s">
        <v>1085</v>
      </c>
      <c r="C275" s="5" t="s">
        <v>1086</v>
      </c>
      <c r="D275" s="6">
        <v>0.4</v>
      </c>
      <c r="H275" s="10" t="s">
        <v>1081</v>
      </c>
      <c r="I275" s="11" t="s">
        <v>1082</v>
      </c>
      <c r="J275" s="10" t="s">
        <v>1072</v>
      </c>
      <c r="K275" s="11" t="s">
        <v>1087</v>
      </c>
      <c r="L275" s="18">
        <f t="shared" si="8"/>
        <v>0.39</v>
      </c>
      <c r="M275" s="15" t="str">
        <f t="shared" si="9"/>
        <v>2</v>
      </c>
    </row>
    <row r="276" spans="1:13" ht="56.25" customHeight="1" x14ac:dyDescent="0.3">
      <c r="A276" s="7">
        <v>274</v>
      </c>
      <c r="B276" s="7" t="s">
        <v>1088</v>
      </c>
      <c r="C276" s="7" t="s">
        <v>1089</v>
      </c>
      <c r="D276" s="8">
        <v>0.41</v>
      </c>
      <c r="H276" s="10" t="s">
        <v>1090</v>
      </c>
      <c r="I276" s="11" t="s">
        <v>1091</v>
      </c>
      <c r="J276" s="10" t="s">
        <v>1092</v>
      </c>
      <c r="K276" s="11" t="s">
        <v>1091</v>
      </c>
      <c r="L276" s="18">
        <f t="shared" si="8"/>
        <v>0.43</v>
      </c>
      <c r="M276" s="15" t="str">
        <f t="shared" si="9"/>
        <v>2</v>
      </c>
    </row>
    <row r="277" spans="1:13" ht="56.25" customHeight="1" x14ac:dyDescent="0.3">
      <c r="A277" s="5">
        <v>275</v>
      </c>
      <c r="B277" s="5" t="s">
        <v>1093</v>
      </c>
      <c r="C277" s="5" t="s">
        <v>1094</v>
      </c>
      <c r="D277" s="6">
        <v>0.41</v>
      </c>
      <c r="H277" s="10" t="s">
        <v>1095</v>
      </c>
      <c r="I277" s="11" t="s">
        <v>1096</v>
      </c>
      <c r="J277" s="10" t="s">
        <v>597</v>
      </c>
      <c r="K277" s="11" t="s">
        <v>598</v>
      </c>
      <c r="L277" s="18">
        <f t="shared" si="8"/>
        <v>5.8999999999999997E-2</v>
      </c>
      <c r="M277" s="15" t="str">
        <f t="shared" si="9"/>
        <v>2</v>
      </c>
    </row>
    <row r="278" spans="1:13" ht="56.25" customHeight="1" x14ac:dyDescent="0.3">
      <c r="A278" s="7">
        <v>276</v>
      </c>
      <c r="B278" s="7" t="s">
        <v>1097</v>
      </c>
      <c r="C278" s="7" t="s">
        <v>1098</v>
      </c>
      <c r="D278" s="8">
        <v>0.41</v>
      </c>
      <c r="H278" s="10" t="s">
        <v>1095</v>
      </c>
      <c r="I278" s="11" t="s">
        <v>1096</v>
      </c>
      <c r="J278" s="10" t="s">
        <v>163</v>
      </c>
      <c r="K278" s="11" t="s">
        <v>1099</v>
      </c>
      <c r="L278" s="18">
        <f t="shared" si="8"/>
        <v>7.7000000000000002E-3</v>
      </c>
      <c r="M278" s="15" t="str">
        <f t="shared" si="9"/>
        <v>2</v>
      </c>
    </row>
    <row r="279" spans="1:13" ht="56.25" customHeight="1" x14ac:dyDescent="0.3">
      <c r="A279" s="5">
        <v>277</v>
      </c>
      <c r="B279" s="5" t="s">
        <v>1100</v>
      </c>
      <c r="C279" s="5" t="s">
        <v>1101</v>
      </c>
      <c r="D279" s="6">
        <v>0.41</v>
      </c>
      <c r="H279" s="10" t="s">
        <v>1095</v>
      </c>
      <c r="I279" s="11" t="s">
        <v>1096</v>
      </c>
      <c r="J279" s="10" t="s">
        <v>875</v>
      </c>
      <c r="K279" s="11" t="s">
        <v>876</v>
      </c>
      <c r="L279" s="18">
        <f t="shared" si="8"/>
        <v>0.25</v>
      </c>
      <c r="M279" s="15" t="str">
        <f t="shared" si="9"/>
        <v>2</v>
      </c>
    </row>
    <row r="280" spans="1:13" ht="56.25" customHeight="1" x14ac:dyDescent="0.3">
      <c r="A280" s="7">
        <v>278</v>
      </c>
      <c r="B280" s="7" t="s">
        <v>1102</v>
      </c>
      <c r="C280" s="7" t="s">
        <v>1103</v>
      </c>
      <c r="D280" s="8">
        <v>0.42</v>
      </c>
      <c r="H280" s="10" t="s">
        <v>1104</v>
      </c>
      <c r="I280" s="11" t="s">
        <v>1105</v>
      </c>
      <c r="J280" s="10" t="s">
        <v>1106</v>
      </c>
      <c r="K280" s="11" t="s">
        <v>1107</v>
      </c>
      <c r="L280" s="18">
        <f t="shared" si="8"/>
        <v>0.44</v>
      </c>
      <c r="M280" s="15" t="str">
        <f t="shared" si="9"/>
        <v>2</v>
      </c>
    </row>
    <row r="281" spans="1:13" ht="56.25" customHeight="1" x14ac:dyDescent="0.3">
      <c r="A281" s="5">
        <v>279</v>
      </c>
      <c r="B281" s="5" t="s">
        <v>1108</v>
      </c>
      <c r="C281" s="5" t="s">
        <v>1109</v>
      </c>
      <c r="D281" s="6">
        <v>0.42</v>
      </c>
      <c r="H281" s="10" t="s">
        <v>1104</v>
      </c>
      <c r="I281" s="11" t="s">
        <v>1105</v>
      </c>
      <c r="J281" s="10" t="s">
        <v>514</v>
      </c>
      <c r="K281" s="11" t="s">
        <v>1110</v>
      </c>
      <c r="L281" s="18">
        <f t="shared" si="8"/>
        <v>3.9E-2</v>
      </c>
      <c r="M281" s="15" t="str">
        <f t="shared" si="9"/>
        <v>2</v>
      </c>
    </row>
    <row r="282" spans="1:13" ht="56.25" customHeight="1" x14ac:dyDescent="0.3">
      <c r="A282" s="7">
        <v>280</v>
      </c>
      <c r="B282" s="7" t="s">
        <v>1111</v>
      </c>
      <c r="C282" s="7" t="s">
        <v>1112</v>
      </c>
      <c r="D282" s="8">
        <v>0.43</v>
      </c>
      <c r="H282" s="10" t="s">
        <v>1104</v>
      </c>
      <c r="I282" s="11" t="s">
        <v>1105</v>
      </c>
      <c r="J282" s="10" t="s">
        <v>521</v>
      </c>
      <c r="K282" s="11" t="s">
        <v>1113</v>
      </c>
      <c r="L282" s="18">
        <f t="shared" si="8"/>
        <v>0.04</v>
      </c>
      <c r="M282" s="15" t="str">
        <f t="shared" si="9"/>
        <v>2</v>
      </c>
    </row>
    <row r="283" spans="1:13" ht="56.25" customHeight="1" x14ac:dyDescent="0.3">
      <c r="A283" s="5">
        <v>281</v>
      </c>
      <c r="B283" s="5" t="s">
        <v>313</v>
      </c>
      <c r="C283" s="5" t="s">
        <v>1114</v>
      </c>
      <c r="D283" s="6">
        <v>0.43</v>
      </c>
      <c r="H283" s="10" t="s">
        <v>1115</v>
      </c>
      <c r="I283" s="11" t="s">
        <v>1116</v>
      </c>
      <c r="J283" s="10" t="s">
        <v>106</v>
      </c>
      <c r="K283" s="11" t="s">
        <v>1117</v>
      </c>
      <c r="L283" s="18">
        <f t="shared" si="8"/>
        <v>4.7000000000000002E-3</v>
      </c>
      <c r="M283" s="15" t="str">
        <f t="shared" si="9"/>
        <v>2</v>
      </c>
    </row>
    <row r="284" spans="1:13" ht="56.25" customHeight="1" x14ac:dyDescent="0.3">
      <c r="A284" s="7">
        <v>282</v>
      </c>
      <c r="B284" s="7" t="s">
        <v>1092</v>
      </c>
      <c r="C284" s="7" t="s">
        <v>1091</v>
      </c>
      <c r="D284" s="8">
        <v>0.43</v>
      </c>
      <c r="H284" s="10" t="s">
        <v>1115</v>
      </c>
      <c r="I284" s="11" t="s">
        <v>1116</v>
      </c>
      <c r="J284" s="10" t="s">
        <v>249</v>
      </c>
      <c r="K284" s="11" t="s">
        <v>1118</v>
      </c>
      <c r="L284" s="18">
        <f t="shared" si="8"/>
        <v>1.2E-2</v>
      </c>
      <c r="M284" s="15" t="str">
        <f t="shared" si="9"/>
        <v>2</v>
      </c>
    </row>
    <row r="285" spans="1:13" ht="56.25" customHeight="1" x14ac:dyDescent="0.3">
      <c r="A285" s="5">
        <v>283</v>
      </c>
      <c r="B285" s="5" t="s">
        <v>1106</v>
      </c>
      <c r="C285" s="5" t="s">
        <v>1107</v>
      </c>
      <c r="D285" s="6">
        <v>0.44</v>
      </c>
      <c r="H285" s="10" t="s">
        <v>1115</v>
      </c>
      <c r="I285" s="11" t="s">
        <v>1116</v>
      </c>
      <c r="J285" s="10" t="s">
        <v>75</v>
      </c>
      <c r="K285" s="11" t="s">
        <v>1119</v>
      </c>
      <c r="L285" s="18">
        <f t="shared" si="8"/>
        <v>4.3E-3</v>
      </c>
      <c r="M285" s="15" t="str">
        <f t="shared" si="9"/>
        <v>2</v>
      </c>
    </row>
    <row r="286" spans="1:13" ht="56.25" customHeight="1" x14ac:dyDescent="0.3">
      <c r="A286" s="7">
        <v>284</v>
      </c>
      <c r="B286" s="7" t="s">
        <v>1120</v>
      </c>
      <c r="C286" s="7" t="s">
        <v>1121</v>
      </c>
      <c r="D286" s="8">
        <v>0.45</v>
      </c>
      <c r="H286" s="10" t="s">
        <v>1122</v>
      </c>
      <c r="I286" s="11" t="s">
        <v>1123</v>
      </c>
      <c r="J286" s="10" t="s">
        <v>471</v>
      </c>
      <c r="K286" s="11" t="s">
        <v>1124</v>
      </c>
      <c r="L286" s="18">
        <f t="shared" si="8"/>
        <v>3.3000000000000002E-2</v>
      </c>
      <c r="M286" s="15" t="str">
        <f t="shared" si="9"/>
        <v>2</v>
      </c>
    </row>
    <row r="287" spans="1:13" ht="56.25" customHeight="1" x14ac:dyDescent="0.3">
      <c r="A287" s="5">
        <v>285</v>
      </c>
      <c r="B287" s="5" t="s">
        <v>1125</v>
      </c>
      <c r="C287" s="5" t="s">
        <v>1126</v>
      </c>
      <c r="D287" s="6">
        <v>0.46</v>
      </c>
      <c r="H287" s="10" t="s">
        <v>1122</v>
      </c>
      <c r="I287" s="11" t="s">
        <v>1123</v>
      </c>
      <c r="J287" s="10" t="s">
        <v>268</v>
      </c>
      <c r="K287" s="11" t="s">
        <v>1127</v>
      </c>
      <c r="L287" s="18">
        <f t="shared" si="8"/>
        <v>1.4E-2</v>
      </c>
      <c r="M287" s="15" t="str">
        <f t="shared" si="9"/>
        <v>2</v>
      </c>
    </row>
    <row r="288" spans="1:13" ht="56.25" customHeight="1" x14ac:dyDescent="0.3">
      <c r="A288" s="7">
        <v>286</v>
      </c>
      <c r="B288" s="7" t="s">
        <v>959</v>
      </c>
      <c r="C288" s="7" t="s">
        <v>1128</v>
      </c>
      <c r="D288" s="8">
        <v>0.47</v>
      </c>
      <c r="H288" s="10" t="s">
        <v>1122</v>
      </c>
      <c r="I288" s="11" t="s">
        <v>1123</v>
      </c>
      <c r="J288" s="10" t="s">
        <v>109</v>
      </c>
      <c r="K288" s="11" t="s">
        <v>1129</v>
      </c>
      <c r="L288" s="18">
        <f t="shared" si="8"/>
        <v>4.7999999999999996E-3</v>
      </c>
      <c r="M288" s="15" t="str">
        <f t="shared" si="9"/>
        <v>2</v>
      </c>
    </row>
    <row r="289" spans="1:13" ht="56.25" customHeight="1" x14ac:dyDescent="0.3">
      <c r="A289" s="5">
        <v>287</v>
      </c>
      <c r="B289" s="5" t="s">
        <v>1130</v>
      </c>
      <c r="C289" s="5" t="s">
        <v>1131</v>
      </c>
      <c r="D289" s="6">
        <v>0.47</v>
      </c>
      <c r="H289" s="10" t="s">
        <v>1122</v>
      </c>
      <c r="I289" s="11" t="s">
        <v>1123</v>
      </c>
      <c r="J289" s="10" t="s">
        <v>195</v>
      </c>
      <c r="K289" s="11" t="s">
        <v>1132</v>
      </c>
      <c r="L289" s="18">
        <f t="shared" si="8"/>
        <v>9.4000000000000004E-3</v>
      </c>
      <c r="M289" s="15" t="str">
        <f t="shared" si="9"/>
        <v>2</v>
      </c>
    </row>
    <row r="290" spans="1:13" ht="56.25" customHeight="1" x14ac:dyDescent="0.3">
      <c r="A290" s="7">
        <v>288</v>
      </c>
      <c r="B290" s="7" t="s">
        <v>1133</v>
      </c>
      <c r="C290" s="7" t="s">
        <v>1134</v>
      </c>
      <c r="D290" s="8">
        <v>0.47</v>
      </c>
      <c r="H290" s="10" t="s">
        <v>1122</v>
      </c>
      <c r="I290" s="11" t="s">
        <v>1123</v>
      </c>
      <c r="J290" s="10" t="s">
        <v>1135</v>
      </c>
      <c r="K290" s="11" t="s">
        <v>1136</v>
      </c>
      <c r="L290" s="18" t="str">
        <f t="shared" si="8"/>
        <v/>
      </c>
      <c r="M290" s="15" t="str">
        <f t="shared" si="9"/>
        <v>2</v>
      </c>
    </row>
    <row r="291" spans="1:13" ht="56.25" customHeight="1" x14ac:dyDescent="0.3">
      <c r="A291" s="5">
        <v>289</v>
      </c>
      <c r="B291" s="5" t="s">
        <v>1137</v>
      </c>
      <c r="C291" s="5" t="s">
        <v>1138</v>
      </c>
      <c r="D291" s="6">
        <v>0.48</v>
      </c>
      <c r="H291" s="10" t="s">
        <v>1122</v>
      </c>
      <c r="I291" s="11" t="s">
        <v>1123</v>
      </c>
      <c r="J291" s="10" t="s">
        <v>428</v>
      </c>
      <c r="K291" s="11" t="s">
        <v>1139</v>
      </c>
      <c r="L291" s="18">
        <f t="shared" si="8"/>
        <v>2.8000000000000001E-2</v>
      </c>
      <c r="M291" s="15" t="str">
        <f t="shared" si="9"/>
        <v>2</v>
      </c>
    </row>
    <row r="292" spans="1:13" ht="56.25" customHeight="1" x14ac:dyDescent="0.3">
      <c r="A292" s="7">
        <v>290</v>
      </c>
      <c r="B292" s="7" t="s">
        <v>1140</v>
      </c>
      <c r="C292" s="7" t="s">
        <v>1141</v>
      </c>
      <c r="D292" s="8">
        <v>0.48</v>
      </c>
      <c r="H292" s="10" t="s">
        <v>1122</v>
      </c>
      <c r="I292" s="11" t="s">
        <v>1123</v>
      </c>
      <c r="J292" s="10" t="s">
        <v>35</v>
      </c>
      <c r="K292" s="11" t="s">
        <v>1142</v>
      </c>
      <c r="L292" s="18">
        <f t="shared" si="8"/>
        <v>3.5000000000000001E-3</v>
      </c>
      <c r="M292" s="15" t="str">
        <f t="shared" si="9"/>
        <v>2</v>
      </c>
    </row>
    <row r="293" spans="1:13" ht="56.25" customHeight="1" x14ac:dyDescent="0.3">
      <c r="A293" s="5">
        <v>291</v>
      </c>
      <c r="B293" s="5" t="s">
        <v>1143</v>
      </c>
      <c r="C293" s="5" t="s">
        <v>1144</v>
      </c>
      <c r="D293" s="6">
        <v>0.48</v>
      </c>
      <c r="H293" s="10" t="s">
        <v>1122</v>
      </c>
      <c r="I293" s="11" t="s">
        <v>1123</v>
      </c>
      <c r="J293" s="10" t="s">
        <v>19</v>
      </c>
      <c r="K293" s="11" t="s">
        <v>1145</v>
      </c>
      <c r="L293" s="18">
        <f t="shared" si="8"/>
        <v>3.0999999999999999E-3</v>
      </c>
      <c r="M293" s="15" t="str">
        <f t="shared" si="9"/>
        <v>2</v>
      </c>
    </row>
    <row r="294" spans="1:13" ht="56.25" customHeight="1" x14ac:dyDescent="0.3">
      <c r="A294" s="7">
        <v>292</v>
      </c>
      <c r="B294" s="7" t="s">
        <v>1146</v>
      </c>
      <c r="C294" s="7" t="s">
        <v>1147</v>
      </c>
      <c r="D294" s="8">
        <v>0.48</v>
      </c>
      <c r="H294" s="10" t="s">
        <v>1122</v>
      </c>
      <c r="I294" s="11" t="s">
        <v>1123</v>
      </c>
      <c r="J294" s="10" t="s">
        <v>1148</v>
      </c>
      <c r="K294" s="11" t="s">
        <v>1149</v>
      </c>
      <c r="L294" s="18" t="str">
        <f t="shared" si="8"/>
        <v/>
      </c>
      <c r="M294" s="15" t="str">
        <f t="shared" si="9"/>
        <v>2</v>
      </c>
    </row>
    <row r="295" spans="1:13" ht="56.25" customHeight="1" x14ac:dyDescent="0.3">
      <c r="A295" s="5">
        <v>293</v>
      </c>
      <c r="B295" s="5" t="s">
        <v>1024</v>
      </c>
      <c r="C295" s="5" t="s">
        <v>1150</v>
      </c>
      <c r="D295" s="6">
        <v>0.48</v>
      </c>
      <c r="H295" s="10" t="s">
        <v>1122</v>
      </c>
      <c r="I295" s="11" t="s">
        <v>1123</v>
      </c>
      <c r="J295" s="10" t="s">
        <v>883</v>
      </c>
      <c r="K295" s="11" t="s">
        <v>1151</v>
      </c>
      <c r="L295" s="18">
        <f t="shared" si="8"/>
        <v>0.25</v>
      </c>
      <c r="M295" s="15" t="str">
        <f t="shared" si="9"/>
        <v>2</v>
      </c>
    </row>
    <row r="296" spans="1:13" ht="56.25" customHeight="1" x14ac:dyDescent="0.3">
      <c r="A296" s="7">
        <v>294</v>
      </c>
      <c r="B296" s="7" t="s">
        <v>1152</v>
      </c>
      <c r="C296" s="7" t="s">
        <v>1153</v>
      </c>
      <c r="D296" s="8">
        <v>0.49</v>
      </c>
      <c r="H296" s="10" t="s">
        <v>1122</v>
      </c>
      <c r="I296" s="11" t="s">
        <v>1123</v>
      </c>
      <c r="J296" s="10" t="s">
        <v>1154</v>
      </c>
      <c r="K296" s="11" t="s">
        <v>1155</v>
      </c>
      <c r="L296" s="18" t="str">
        <f t="shared" si="8"/>
        <v/>
      </c>
      <c r="M296" s="15" t="str">
        <f t="shared" si="9"/>
        <v>2</v>
      </c>
    </row>
    <row r="297" spans="1:13" ht="56.25" customHeight="1" x14ac:dyDescent="0.3">
      <c r="A297" s="5">
        <v>295</v>
      </c>
      <c r="B297" s="5" t="s">
        <v>441</v>
      </c>
      <c r="C297" s="5" t="s">
        <v>1156</v>
      </c>
      <c r="D297" s="6">
        <v>0.49</v>
      </c>
      <c r="H297" s="10" t="s">
        <v>1157</v>
      </c>
      <c r="I297" s="11" t="s">
        <v>1158</v>
      </c>
      <c r="J297" s="10" t="s">
        <v>175</v>
      </c>
      <c r="K297" s="11" t="s">
        <v>176</v>
      </c>
      <c r="L297" s="18">
        <f t="shared" si="8"/>
        <v>8.0999999999999996E-3</v>
      </c>
      <c r="M297" s="15" t="str">
        <f t="shared" si="9"/>
        <v>2</v>
      </c>
    </row>
    <row r="298" spans="1:13" ht="56.25" customHeight="1" x14ac:dyDescent="0.3">
      <c r="A298" s="7">
        <v>296</v>
      </c>
      <c r="B298" s="7" t="s">
        <v>1159</v>
      </c>
      <c r="C298" s="7" t="s">
        <v>1160</v>
      </c>
      <c r="D298" s="8">
        <v>0.49</v>
      </c>
      <c r="H298" s="10" t="s">
        <v>1157</v>
      </c>
      <c r="I298" s="11" t="s">
        <v>1158</v>
      </c>
      <c r="J298" s="10" t="s">
        <v>409</v>
      </c>
      <c r="K298" s="11" t="s">
        <v>1161</v>
      </c>
      <c r="L298" s="18">
        <f t="shared" si="8"/>
        <v>2.5000000000000001E-2</v>
      </c>
      <c r="M298" s="15" t="str">
        <f t="shared" si="9"/>
        <v>2</v>
      </c>
    </row>
    <row r="299" spans="1:13" ht="56.25" customHeight="1" x14ac:dyDescent="0.3">
      <c r="A299" s="5">
        <v>297</v>
      </c>
      <c r="B299" s="5" t="s">
        <v>1162</v>
      </c>
      <c r="C299" s="5" t="s">
        <v>1163</v>
      </c>
      <c r="D299" s="6">
        <v>0.49</v>
      </c>
      <c r="H299" s="10" t="s">
        <v>1164</v>
      </c>
      <c r="I299" s="11" t="s">
        <v>1165</v>
      </c>
      <c r="J299" s="10" t="s">
        <v>575</v>
      </c>
      <c r="K299" s="11" t="s">
        <v>576</v>
      </c>
      <c r="L299" s="18">
        <f t="shared" si="8"/>
        <v>5.5E-2</v>
      </c>
      <c r="M299" s="15" t="str">
        <f t="shared" si="9"/>
        <v>2</v>
      </c>
    </row>
    <row r="300" spans="1:13" ht="56.25" customHeight="1" x14ac:dyDescent="0.3">
      <c r="A300" s="7">
        <v>298</v>
      </c>
      <c r="B300" s="7" t="s">
        <v>1166</v>
      </c>
      <c r="C300" s="7" t="s">
        <v>1167</v>
      </c>
      <c r="D300" s="8">
        <v>0.49</v>
      </c>
      <c r="H300" s="10" t="s">
        <v>1164</v>
      </c>
      <c r="I300" s="11" t="s">
        <v>1165</v>
      </c>
      <c r="J300" s="10" t="s">
        <v>1168</v>
      </c>
      <c r="K300" s="11" t="s">
        <v>1169</v>
      </c>
      <c r="L300" s="18">
        <f t="shared" si="8"/>
        <v>0.89</v>
      </c>
      <c r="M300" s="15" t="str">
        <f t="shared" si="9"/>
        <v>2</v>
      </c>
    </row>
    <row r="301" spans="1:13" ht="56.25" customHeight="1" x14ac:dyDescent="0.3">
      <c r="A301" s="5">
        <v>299</v>
      </c>
      <c r="B301" s="5" t="s">
        <v>1170</v>
      </c>
      <c r="C301" s="5" t="s">
        <v>1171</v>
      </c>
      <c r="D301" s="6">
        <v>0.5</v>
      </c>
      <c r="H301" s="10" t="s">
        <v>1164</v>
      </c>
      <c r="I301" s="11" t="s">
        <v>1165</v>
      </c>
      <c r="J301" s="10" t="s">
        <v>504</v>
      </c>
      <c r="K301" s="11" t="s">
        <v>975</v>
      </c>
      <c r="L301" s="18">
        <f t="shared" si="8"/>
        <v>3.7999999999999999E-2</v>
      </c>
      <c r="M301" s="15" t="str">
        <f t="shared" si="9"/>
        <v>2</v>
      </c>
    </row>
    <row r="302" spans="1:13" ht="56.25" customHeight="1" x14ac:dyDescent="0.3">
      <c r="A302" s="7">
        <v>300</v>
      </c>
      <c r="B302" s="7" t="s">
        <v>1172</v>
      </c>
      <c r="C302" s="7" t="s">
        <v>1173</v>
      </c>
      <c r="D302" s="8">
        <v>0.5</v>
      </c>
      <c r="H302" s="10" t="s">
        <v>1174</v>
      </c>
      <c r="I302" s="11" t="s">
        <v>1175</v>
      </c>
      <c r="J302" s="10" t="s">
        <v>707</v>
      </c>
      <c r="K302" s="11" t="s">
        <v>1176</v>
      </c>
      <c r="L302" s="18">
        <f t="shared" si="8"/>
        <v>0.11</v>
      </c>
      <c r="M302" s="15" t="str">
        <f t="shared" si="9"/>
        <v>2</v>
      </c>
    </row>
    <row r="303" spans="1:13" ht="56.25" customHeight="1" x14ac:dyDescent="0.3">
      <c r="A303" s="5">
        <v>301</v>
      </c>
      <c r="B303" s="5" t="s">
        <v>1177</v>
      </c>
      <c r="C303" s="5" t="s">
        <v>1178</v>
      </c>
      <c r="D303" s="6">
        <v>0.5</v>
      </c>
      <c r="H303" s="10" t="s">
        <v>1174</v>
      </c>
      <c r="I303" s="11" t="s">
        <v>1175</v>
      </c>
      <c r="J303" s="10" t="s">
        <v>575</v>
      </c>
      <c r="K303" s="11" t="s">
        <v>576</v>
      </c>
      <c r="L303" s="18">
        <f t="shared" si="8"/>
        <v>5.5E-2</v>
      </c>
      <c r="M303" s="15" t="str">
        <f t="shared" si="9"/>
        <v>2</v>
      </c>
    </row>
    <row r="304" spans="1:13" ht="56.25" customHeight="1" x14ac:dyDescent="0.3">
      <c r="A304" s="7">
        <v>302</v>
      </c>
      <c r="B304" s="7" t="s">
        <v>1179</v>
      </c>
      <c r="C304" s="7" t="s">
        <v>1180</v>
      </c>
      <c r="D304" s="8">
        <v>0.51</v>
      </c>
      <c r="H304" s="10" t="s">
        <v>1181</v>
      </c>
      <c r="I304" s="11" t="s">
        <v>1182</v>
      </c>
      <c r="J304" s="10" t="s">
        <v>521</v>
      </c>
      <c r="K304" s="11" t="s">
        <v>1113</v>
      </c>
      <c r="L304" s="18">
        <f t="shared" si="8"/>
        <v>0.04</v>
      </c>
      <c r="M304" s="15" t="str">
        <f t="shared" si="9"/>
        <v>2</v>
      </c>
    </row>
    <row r="305" spans="1:13" ht="56.25" customHeight="1" x14ac:dyDescent="0.3">
      <c r="A305" s="5">
        <v>303</v>
      </c>
      <c r="B305" s="5" t="s">
        <v>1183</v>
      </c>
      <c r="C305" s="5" t="s">
        <v>1184</v>
      </c>
      <c r="D305" s="6">
        <v>0.51</v>
      </c>
      <c r="H305" s="10" t="s">
        <v>1181</v>
      </c>
      <c r="I305" s="11" t="s">
        <v>1182</v>
      </c>
      <c r="J305" s="10" t="s">
        <v>1052</v>
      </c>
      <c r="K305" s="11" t="s">
        <v>1185</v>
      </c>
      <c r="L305" s="18">
        <f t="shared" si="8"/>
        <v>0.38</v>
      </c>
      <c r="M305" s="15" t="str">
        <f t="shared" si="9"/>
        <v>2</v>
      </c>
    </row>
    <row r="306" spans="1:13" ht="56.25" customHeight="1" x14ac:dyDescent="0.3">
      <c r="A306" s="7">
        <v>304</v>
      </c>
      <c r="B306" s="7" t="s">
        <v>1186</v>
      </c>
      <c r="C306" s="7" t="s">
        <v>1187</v>
      </c>
      <c r="D306" s="8">
        <v>0.52</v>
      </c>
      <c r="H306" s="10" t="s">
        <v>1188</v>
      </c>
      <c r="I306" s="11" t="s">
        <v>1189</v>
      </c>
      <c r="J306" s="10" t="s">
        <v>476</v>
      </c>
      <c r="K306" s="11" t="s">
        <v>1190</v>
      </c>
      <c r="L306" s="18">
        <f t="shared" si="8"/>
        <v>3.5000000000000003E-2</v>
      </c>
      <c r="M306" s="15" t="str">
        <f t="shared" si="9"/>
        <v>2</v>
      </c>
    </row>
    <row r="307" spans="1:13" ht="56.25" customHeight="1" x14ac:dyDescent="0.3">
      <c r="A307" s="5">
        <v>305</v>
      </c>
      <c r="B307" s="5" t="s">
        <v>1191</v>
      </c>
      <c r="C307" s="5" t="s">
        <v>1192</v>
      </c>
      <c r="D307" s="6">
        <v>0.52</v>
      </c>
      <c r="H307" s="10" t="s">
        <v>1188</v>
      </c>
      <c r="I307" s="11" t="s">
        <v>1189</v>
      </c>
      <c r="J307" s="10" t="s">
        <v>540</v>
      </c>
      <c r="K307" s="11" t="s">
        <v>1193</v>
      </c>
      <c r="L307" s="18">
        <f t="shared" si="8"/>
        <v>4.2000000000000003E-2</v>
      </c>
      <c r="M307" s="15" t="str">
        <f t="shared" si="9"/>
        <v>2</v>
      </c>
    </row>
    <row r="308" spans="1:13" ht="56.25" customHeight="1" x14ac:dyDescent="0.3">
      <c r="A308" s="7">
        <v>306</v>
      </c>
      <c r="B308" s="7" t="s">
        <v>1194</v>
      </c>
      <c r="C308" s="7" t="s">
        <v>1195</v>
      </c>
      <c r="D308" s="8">
        <v>0.53</v>
      </c>
      <c r="H308" s="10" t="s">
        <v>1196</v>
      </c>
      <c r="I308" s="11" t="s">
        <v>1197</v>
      </c>
      <c r="J308" s="10" t="s">
        <v>305</v>
      </c>
      <c r="K308" s="11" t="s">
        <v>1198</v>
      </c>
      <c r="L308" s="18">
        <f t="shared" si="8"/>
        <v>1.4999999999999999E-2</v>
      </c>
      <c r="M308" s="15" t="str">
        <f t="shared" si="9"/>
        <v>2</v>
      </c>
    </row>
    <row r="309" spans="1:13" ht="56.25" customHeight="1" x14ac:dyDescent="0.3">
      <c r="A309" s="5">
        <v>307</v>
      </c>
      <c r="B309" s="5" t="s">
        <v>1199</v>
      </c>
      <c r="C309" s="5" t="s">
        <v>1200</v>
      </c>
      <c r="D309" s="6">
        <v>0.53</v>
      </c>
      <c r="H309" s="10" t="s">
        <v>1196</v>
      </c>
      <c r="I309" s="11" t="s">
        <v>1197</v>
      </c>
      <c r="J309" s="10" t="s">
        <v>630</v>
      </c>
      <c r="K309" s="11" t="s">
        <v>1201</v>
      </c>
      <c r="L309" s="18">
        <f t="shared" si="8"/>
        <v>7.3999999999999996E-2</v>
      </c>
      <c r="M309" s="15" t="str">
        <f t="shared" si="9"/>
        <v>2</v>
      </c>
    </row>
    <row r="310" spans="1:13" ht="56.25" customHeight="1" x14ac:dyDescent="0.3">
      <c r="A310" s="7">
        <v>308</v>
      </c>
      <c r="B310" s="7" t="s">
        <v>1202</v>
      </c>
      <c r="C310" s="7" t="s">
        <v>1203</v>
      </c>
      <c r="D310" s="8">
        <v>0.54</v>
      </c>
      <c r="H310" s="10" t="s">
        <v>1204</v>
      </c>
      <c r="I310" s="11" t="s">
        <v>1205</v>
      </c>
      <c r="J310" s="10" t="s">
        <v>715</v>
      </c>
      <c r="K310" s="11" t="s">
        <v>716</v>
      </c>
      <c r="L310" s="18">
        <f t="shared" si="8"/>
        <v>0.13</v>
      </c>
      <c r="M310" s="15" t="str">
        <f t="shared" si="9"/>
        <v>2</v>
      </c>
    </row>
    <row r="311" spans="1:13" ht="56.25" customHeight="1" x14ac:dyDescent="0.3">
      <c r="A311" s="5">
        <v>309</v>
      </c>
      <c r="B311" s="5" t="s">
        <v>1206</v>
      </c>
      <c r="C311" s="5" t="s">
        <v>1207</v>
      </c>
      <c r="D311" s="6">
        <v>0.54</v>
      </c>
      <c r="H311" s="10" t="s">
        <v>1204</v>
      </c>
      <c r="I311" s="11" t="s">
        <v>1205</v>
      </c>
      <c r="J311" s="10" t="s">
        <v>59</v>
      </c>
      <c r="K311" s="11" t="s">
        <v>60</v>
      </c>
      <c r="L311" s="18">
        <f t="shared" si="8"/>
        <v>4.0000000000000001E-3</v>
      </c>
      <c r="M311" s="15" t="str">
        <f t="shared" si="9"/>
        <v>2</v>
      </c>
    </row>
    <row r="312" spans="1:13" ht="56.25" customHeight="1" x14ac:dyDescent="0.3">
      <c r="A312" s="7">
        <v>310</v>
      </c>
      <c r="B312" s="7" t="s">
        <v>1208</v>
      </c>
      <c r="C312" s="7" t="s">
        <v>1209</v>
      </c>
      <c r="D312" s="8">
        <v>0.54</v>
      </c>
      <c r="H312" s="11" t="s">
        <v>1210</v>
      </c>
      <c r="I312" s="11" t="s">
        <v>1211</v>
      </c>
      <c r="J312" s="11" t="s">
        <v>401</v>
      </c>
      <c r="K312" s="11" t="s">
        <v>1212</v>
      </c>
      <c r="L312" s="18">
        <f t="shared" si="8"/>
        <v>2.3E-2</v>
      </c>
      <c r="M312" s="15" t="str">
        <f t="shared" si="9"/>
        <v>2</v>
      </c>
    </row>
    <row r="313" spans="1:13" ht="56.25" customHeight="1" x14ac:dyDescent="0.3">
      <c r="A313" s="5">
        <v>311</v>
      </c>
      <c r="B313" s="5" t="s">
        <v>1213</v>
      </c>
      <c r="C313" s="5" t="s">
        <v>1214</v>
      </c>
      <c r="D313" s="6">
        <v>0.54</v>
      </c>
      <c r="H313" s="10" t="s">
        <v>1210</v>
      </c>
      <c r="I313" s="11" t="s">
        <v>1211</v>
      </c>
      <c r="J313" s="10" t="s">
        <v>391</v>
      </c>
      <c r="K313" s="11" t="s">
        <v>1215</v>
      </c>
      <c r="L313" s="18">
        <f t="shared" si="8"/>
        <v>2.1999999999999999E-2</v>
      </c>
      <c r="M313" s="15" t="str">
        <f t="shared" si="9"/>
        <v>2</v>
      </c>
    </row>
    <row r="314" spans="1:13" ht="56.25" customHeight="1" x14ac:dyDescent="0.3">
      <c r="A314" s="7">
        <v>312</v>
      </c>
      <c r="B314" s="7" t="s">
        <v>1216</v>
      </c>
      <c r="C314" s="7" t="s">
        <v>1217</v>
      </c>
      <c r="D314" s="8">
        <v>0.54</v>
      </c>
      <c r="H314" s="10" t="s">
        <v>1210</v>
      </c>
      <c r="I314" s="11" t="s">
        <v>1211</v>
      </c>
      <c r="J314" s="10" t="s">
        <v>961</v>
      </c>
      <c r="K314" s="11" t="s">
        <v>1218</v>
      </c>
      <c r="L314" s="18">
        <f t="shared" si="8"/>
        <v>0.31</v>
      </c>
      <c r="M314" s="15" t="str">
        <f t="shared" si="9"/>
        <v>2</v>
      </c>
    </row>
    <row r="315" spans="1:13" ht="56.25" customHeight="1" x14ac:dyDescent="0.3">
      <c r="A315" s="5">
        <v>313</v>
      </c>
      <c r="B315" s="5" t="s">
        <v>1219</v>
      </c>
      <c r="C315" s="5" t="s">
        <v>1220</v>
      </c>
      <c r="D315" s="6">
        <v>0.55000000000000004</v>
      </c>
      <c r="H315" s="10" t="s">
        <v>1221</v>
      </c>
      <c r="I315" s="11" t="s">
        <v>1021</v>
      </c>
      <c r="J315" s="10" t="s">
        <v>1020</v>
      </c>
      <c r="K315" s="11" t="s">
        <v>1021</v>
      </c>
      <c r="L315" s="18">
        <f t="shared" si="8"/>
        <v>0.37</v>
      </c>
      <c r="M315" s="15" t="str">
        <f t="shared" si="9"/>
        <v>2</v>
      </c>
    </row>
    <row r="316" spans="1:13" ht="56.25" customHeight="1" x14ac:dyDescent="0.3">
      <c r="A316" s="7">
        <v>314</v>
      </c>
      <c r="B316" s="7" t="s">
        <v>1222</v>
      </c>
      <c r="C316" s="7" t="s">
        <v>1223</v>
      </c>
      <c r="D316" s="8">
        <v>0.55000000000000004</v>
      </c>
      <c r="H316" s="10" t="s">
        <v>1224</v>
      </c>
      <c r="I316" s="11" t="s">
        <v>1225</v>
      </c>
      <c r="J316" s="10" t="s">
        <v>689</v>
      </c>
      <c r="K316" s="11" t="s">
        <v>1226</v>
      </c>
      <c r="L316" s="18">
        <f t="shared" si="8"/>
        <v>0.1</v>
      </c>
      <c r="M316" s="15" t="str">
        <f t="shared" si="9"/>
        <v>2</v>
      </c>
    </row>
    <row r="317" spans="1:13" ht="56.25" customHeight="1" x14ac:dyDescent="0.3">
      <c r="A317" s="5">
        <v>315</v>
      </c>
      <c r="B317" s="5" t="s">
        <v>1227</v>
      </c>
      <c r="C317" s="5" t="s">
        <v>1228</v>
      </c>
      <c r="D317" s="6">
        <v>0.55000000000000004</v>
      </c>
      <c r="H317" s="10" t="s">
        <v>1224</v>
      </c>
      <c r="I317" s="11" t="s">
        <v>1225</v>
      </c>
      <c r="J317" s="10" t="s">
        <v>1229</v>
      </c>
      <c r="K317" s="11" t="s">
        <v>1230</v>
      </c>
      <c r="L317" s="18">
        <f t="shared" si="8"/>
        <v>0.72</v>
      </c>
      <c r="M317" s="15" t="str">
        <f t="shared" si="9"/>
        <v>2</v>
      </c>
    </row>
    <row r="318" spans="1:13" ht="56.25" customHeight="1" x14ac:dyDescent="0.3">
      <c r="A318" s="7">
        <v>316</v>
      </c>
      <c r="B318" s="7" t="s">
        <v>1231</v>
      </c>
      <c r="C318" s="7" t="s">
        <v>1232</v>
      </c>
      <c r="D318" s="8">
        <v>0.55000000000000004</v>
      </c>
      <c r="H318" s="10" t="s">
        <v>1224</v>
      </c>
      <c r="I318" s="11" t="s">
        <v>1225</v>
      </c>
      <c r="J318" s="10" t="s">
        <v>620</v>
      </c>
      <c r="K318" s="11" t="s">
        <v>1233</v>
      </c>
      <c r="L318" s="18">
        <f t="shared" si="8"/>
        <v>6.7000000000000004E-2</v>
      </c>
      <c r="M318" s="15" t="str">
        <f t="shared" si="9"/>
        <v>2</v>
      </c>
    </row>
    <row r="319" spans="1:13" ht="56.25" customHeight="1" x14ac:dyDescent="0.3">
      <c r="A319" s="5">
        <v>317</v>
      </c>
      <c r="B319" s="5" t="s">
        <v>1234</v>
      </c>
      <c r="C319" s="5" t="s">
        <v>1235</v>
      </c>
      <c r="D319" s="6">
        <v>0.56000000000000005</v>
      </c>
      <c r="H319" s="10" t="s">
        <v>1236</v>
      </c>
      <c r="I319" s="11" t="s">
        <v>1237</v>
      </c>
      <c r="J319" s="10" t="s">
        <v>1238</v>
      </c>
      <c r="K319" s="11" t="s">
        <v>1239</v>
      </c>
      <c r="L319" s="18" t="str">
        <f t="shared" si="8"/>
        <v/>
      </c>
      <c r="M319" s="15" t="str">
        <f t="shared" si="9"/>
        <v>2</v>
      </c>
    </row>
    <row r="320" spans="1:13" ht="56.25" customHeight="1" x14ac:dyDescent="0.3">
      <c r="A320" s="7">
        <v>318</v>
      </c>
      <c r="B320" s="7" t="s">
        <v>1240</v>
      </c>
      <c r="C320" s="7" t="s">
        <v>1241</v>
      </c>
      <c r="D320" s="8">
        <v>0.56999999999999995</v>
      </c>
      <c r="H320" s="10" t="s">
        <v>1242</v>
      </c>
      <c r="I320" s="11" t="s">
        <v>1243</v>
      </c>
      <c r="J320" s="10" t="s">
        <v>1244</v>
      </c>
      <c r="K320" s="11" t="s">
        <v>1245</v>
      </c>
      <c r="L320" s="18">
        <f t="shared" si="8"/>
        <v>0.56999999999999995</v>
      </c>
      <c r="M320" s="15" t="str">
        <f t="shared" si="9"/>
        <v>3</v>
      </c>
    </row>
    <row r="321" spans="1:13" ht="56.25" customHeight="1" x14ac:dyDescent="0.3">
      <c r="A321" s="5">
        <v>319</v>
      </c>
      <c r="B321" s="5" t="s">
        <v>1244</v>
      </c>
      <c r="C321" s="5" t="s">
        <v>1246</v>
      </c>
      <c r="D321" s="6">
        <v>0.56999999999999995</v>
      </c>
      <c r="H321" s="10" t="s">
        <v>1242</v>
      </c>
      <c r="I321" s="11" t="s">
        <v>1243</v>
      </c>
      <c r="J321" s="10" t="s">
        <v>1247</v>
      </c>
      <c r="K321" s="11" t="s">
        <v>1248</v>
      </c>
      <c r="L321" s="18">
        <f t="shared" si="8"/>
        <v>0.91</v>
      </c>
      <c r="M321" s="15" t="str">
        <f t="shared" si="9"/>
        <v>3</v>
      </c>
    </row>
    <row r="322" spans="1:13" ht="56.25" customHeight="1" x14ac:dyDescent="0.3">
      <c r="A322" s="7">
        <v>320</v>
      </c>
      <c r="B322" s="7" t="s">
        <v>1249</v>
      </c>
      <c r="C322" s="7" t="s">
        <v>1250</v>
      </c>
      <c r="D322" s="8">
        <v>0.56999999999999995</v>
      </c>
      <c r="H322" s="10" t="s">
        <v>1242</v>
      </c>
      <c r="I322" s="11" t="s">
        <v>1243</v>
      </c>
      <c r="J322" s="10" t="s">
        <v>1251</v>
      </c>
      <c r="K322" s="11" t="s">
        <v>1252</v>
      </c>
      <c r="L322" s="18">
        <f t="shared" si="8"/>
        <v>0.61</v>
      </c>
      <c r="M322" s="15" t="str">
        <f t="shared" si="9"/>
        <v>3</v>
      </c>
    </row>
    <row r="323" spans="1:13" ht="56.25" customHeight="1" x14ac:dyDescent="0.3">
      <c r="A323" s="5">
        <v>321</v>
      </c>
      <c r="B323" s="5" t="s">
        <v>1253</v>
      </c>
      <c r="C323" s="5" t="s">
        <v>1254</v>
      </c>
      <c r="D323" s="6">
        <v>0.56999999999999995</v>
      </c>
      <c r="H323" s="10" t="s">
        <v>1255</v>
      </c>
      <c r="I323" s="11" t="s">
        <v>1256</v>
      </c>
      <c r="J323" s="10" t="s">
        <v>1257</v>
      </c>
      <c r="K323" s="11" t="s">
        <v>1258</v>
      </c>
      <c r="L323" s="18">
        <f t="shared" ref="L323:L386" si="10">IFERROR(INDEX($D$3:$D$704,MATCH(TRIM(J323),$B$3:$B$704,0)),"")</f>
        <v>0.75</v>
      </c>
      <c r="M323" s="15" t="str">
        <f t="shared" ref="M323:M386" si="11">LEFT(TEXT(H323,"0000")*0.1)</f>
        <v>3</v>
      </c>
    </row>
    <row r="324" spans="1:13" ht="56.25" customHeight="1" x14ac:dyDescent="0.3">
      <c r="A324" s="7">
        <v>322</v>
      </c>
      <c r="B324" s="7" t="s">
        <v>1259</v>
      </c>
      <c r="C324" s="7" t="s">
        <v>1260</v>
      </c>
      <c r="D324" s="8">
        <v>0.56999999999999995</v>
      </c>
      <c r="H324" s="10" t="s">
        <v>1255</v>
      </c>
      <c r="I324" s="11" t="s">
        <v>1256</v>
      </c>
      <c r="J324" s="10" t="s">
        <v>1261</v>
      </c>
      <c r="K324" s="11" t="s">
        <v>1262</v>
      </c>
      <c r="L324" s="18">
        <f t="shared" si="10"/>
        <v>0.96</v>
      </c>
      <c r="M324" s="15" t="str">
        <f t="shared" si="11"/>
        <v>3</v>
      </c>
    </row>
    <row r="325" spans="1:13" ht="56.25" customHeight="1" x14ac:dyDescent="0.3">
      <c r="A325" s="5">
        <v>323</v>
      </c>
      <c r="B325" s="5" t="s">
        <v>1263</v>
      </c>
      <c r="C325" s="5" t="s">
        <v>1264</v>
      </c>
      <c r="D325" s="6">
        <v>0.56999999999999995</v>
      </c>
      <c r="H325" s="11" t="s">
        <v>1255</v>
      </c>
      <c r="I325" s="11" t="s">
        <v>1256</v>
      </c>
      <c r="J325" s="11" t="s">
        <v>45</v>
      </c>
      <c r="K325" s="11" t="s">
        <v>1265</v>
      </c>
      <c r="L325" s="18">
        <f t="shared" si="10"/>
        <v>3.5999999999999999E-3</v>
      </c>
      <c r="M325" s="15" t="str">
        <f t="shared" si="11"/>
        <v>3</v>
      </c>
    </row>
    <row r="326" spans="1:13" ht="56.25" customHeight="1" x14ac:dyDescent="0.3">
      <c r="A326" s="7">
        <v>324</v>
      </c>
      <c r="B326" s="7" t="s">
        <v>924</v>
      </c>
      <c r="C326" s="7" t="s">
        <v>1266</v>
      </c>
      <c r="D326" s="8">
        <v>0.57999999999999996</v>
      </c>
      <c r="H326" s="10" t="s">
        <v>1255</v>
      </c>
      <c r="I326" s="11" t="s">
        <v>1256</v>
      </c>
      <c r="J326" s="10" t="s">
        <v>1137</v>
      </c>
      <c r="K326" s="11" t="s">
        <v>1267</v>
      </c>
      <c r="L326" s="18">
        <f t="shared" si="10"/>
        <v>0.48</v>
      </c>
      <c r="M326" s="15" t="str">
        <f t="shared" si="11"/>
        <v>3</v>
      </c>
    </row>
    <row r="327" spans="1:13" ht="56.25" customHeight="1" x14ac:dyDescent="0.3">
      <c r="A327" s="5">
        <v>325</v>
      </c>
      <c r="B327" s="5" t="s">
        <v>1268</v>
      </c>
      <c r="C327" s="5" t="s">
        <v>1269</v>
      </c>
      <c r="D327" s="6">
        <v>0.59</v>
      </c>
      <c r="H327" s="10" t="s">
        <v>1255</v>
      </c>
      <c r="I327" s="11" t="s">
        <v>1256</v>
      </c>
      <c r="J327" s="10" t="s">
        <v>1270</v>
      </c>
      <c r="K327" s="11" t="s">
        <v>1271</v>
      </c>
      <c r="L327" s="18">
        <f t="shared" si="10"/>
        <v>0.63</v>
      </c>
      <c r="M327" s="15" t="str">
        <f t="shared" si="11"/>
        <v>3</v>
      </c>
    </row>
    <row r="328" spans="1:13" ht="56.25" customHeight="1" x14ac:dyDescent="0.3">
      <c r="A328" s="7">
        <v>326</v>
      </c>
      <c r="B328" s="7" t="s">
        <v>1272</v>
      </c>
      <c r="C328" s="7" t="s">
        <v>1273</v>
      </c>
      <c r="D328" s="8">
        <v>0.59</v>
      </c>
      <c r="H328" s="10" t="s">
        <v>1274</v>
      </c>
      <c r="I328" s="11" t="s">
        <v>1275</v>
      </c>
      <c r="J328" s="10" t="s">
        <v>1276</v>
      </c>
      <c r="K328" s="11" t="s">
        <v>1277</v>
      </c>
      <c r="L328" s="18">
        <f t="shared" si="10"/>
        <v>0.84</v>
      </c>
      <c r="M328" s="15" t="str">
        <f t="shared" si="11"/>
        <v>3</v>
      </c>
    </row>
    <row r="329" spans="1:13" ht="56.25" customHeight="1" x14ac:dyDescent="0.3">
      <c r="A329" s="5">
        <v>327</v>
      </c>
      <c r="B329" s="5" t="s">
        <v>1278</v>
      </c>
      <c r="C329" s="5" t="s">
        <v>1279</v>
      </c>
      <c r="D329" s="6">
        <v>0.59</v>
      </c>
      <c r="H329" s="10" t="s">
        <v>1274</v>
      </c>
      <c r="I329" s="11" t="s">
        <v>1275</v>
      </c>
      <c r="J329" s="10" t="s">
        <v>1280</v>
      </c>
      <c r="K329" s="11" t="s">
        <v>1281</v>
      </c>
      <c r="L329" s="18">
        <f t="shared" si="10"/>
        <v>0.81</v>
      </c>
      <c r="M329" s="15" t="str">
        <f t="shared" si="11"/>
        <v>3</v>
      </c>
    </row>
    <row r="330" spans="1:13" ht="56.25" customHeight="1" x14ac:dyDescent="0.3">
      <c r="A330" s="7">
        <v>328</v>
      </c>
      <c r="B330" s="7" t="s">
        <v>235</v>
      </c>
      <c r="C330" s="7" t="s">
        <v>1282</v>
      </c>
      <c r="D330" s="8">
        <v>0.59</v>
      </c>
      <c r="H330" s="10" t="s">
        <v>1283</v>
      </c>
      <c r="I330" s="11" t="s">
        <v>1284</v>
      </c>
      <c r="J330" s="10" t="s">
        <v>1276</v>
      </c>
      <c r="K330" s="11" t="s">
        <v>1277</v>
      </c>
      <c r="L330" s="18">
        <f t="shared" si="10"/>
        <v>0.84</v>
      </c>
      <c r="M330" s="15" t="str">
        <f t="shared" si="11"/>
        <v>3</v>
      </c>
    </row>
    <row r="331" spans="1:13" ht="56.25" customHeight="1" x14ac:dyDescent="0.3">
      <c r="A331" s="5">
        <v>329</v>
      </c>
      <c r="B331" s="5" t="s">
        <v>1285</v>
      </c>
      <c r="C331" s="5" t="s">
        <v>1286</v>
      </c>
      <c r="D331" s="6">
        <v>0.59</v>
      </c>
      <c r="H331" s="10" t="s">
        <v>1287</v>
      </c>
      <c r="I331" s="11" t="s">
        <v>1041</v>
      </c>
      <c r="J331" s="10" t="s">
        <v>1140</v>
      </c>
      <c r="K331" s="11" t="s">
        <v>1288</v>
      </c>
      <c r="L331" s="18">
        <f t="shared" si="10"/>
        <v>0.48</v>
      </c>
      <c r="M331" s="15" t="str">
        <f t="shared" si="11"/>
        <v>3</v>
      </c>
    </row>
    <row r="332" spans="1:13" ht="56.25" customHeight="1" x14ac:dyDescent="0.3">
      <c r="A332" s="7">
        <v>330</v>
      </c>
      <c r="B332" s="7" t="s">
        <v>1289</v>
      </c>
      <c r="C332" s="7" t="s">
        <v>1290</v>
      </c>
      <c r="D332" s="8">
        <v>0.59</v>
      </c>
      <c r="H332" s="10" t="s">
        <v>1287</v>
      </c>
      <c r="I332" s="11" t="s">
        <v>1041</v>
      </c>
      <c r="J332" s="10" t="s">
        <v>1280</v>
      </c>
      <c r="K332" s="11" t="s">
        <v>1281</v>
      </c>
      <c r="L332" s="18">
        <f t="shared" si="10"/>
        <v>0.81</v>
      </c>
      <c r="M332" s="15" t="str">
        <f t="shared" si="11"/>
        <v>3</v>
      </c>
    </row>
    <row r="333" spans="1:13" ht="56.25" customHeight="1" x14ac:dyDescent="0.3">
      <c r="A333" s="5">
        <v>331</v>
      </c>
      <c r="B333" s="5" t="s">
        <v>1291</v>
      </c>
      <c r="C333" s="5" t="s">
        <v>1292</v>
      </c>
      <c r="D333" s="6">
        <v>0.6</v>
      </c>
      <c r="H333" s="10" t="s">
        <v>1287</v>
      </c>
      <c r="I333" s="11" t="s">
        <v>1041</v>
      </c>
      <c r="J333" s="10" t="s">
        <v>1040</v>
      </c>
      <c r="K333" s="11" t="s">
        <v>1293</v>
      </c>
      <c r="L333" s="18">
        <f t="shared" si="10"/>
        <v>0.38</v>
      </c>
      <c r="M333" s="15" t="str">
        <f t="shared" si="11"/>
        <v>3</v>
      </c>
    </row>
    <row r="334" spans="1:13" ht="56.25" customHeight="1" x14ac:dyDescent="0.3">
      <c r="A334" s="7">
        <v>332</v>
      </c>
      <c r="B334" s="7" t="s">
        <v>1294</v>
      </c>
      <c r="C334" s="7" t="s">
        <v>1295</v>
      </c>
      <c r="D334" s="8">
        <v>0.6</v>
      </c>
      <c r="H334" s="10" t="s">
        <v>1287</v>
      </c>
      <c r="I334" s="11" t="s">
        <v>1041</v>
      </c>
      <c r="J334" s="10" t="s">
        <v>872</v>
      </c>
      <c r="K334" s="11" t="s">
        <v>1296</v>
      </c>
      <c r="L334" s="18">
        <f t="shared" si="10"/>
        <v>0.24</v>
      </c>
      <c r="M334" s="15" t="str">
        <f t="shared" si="11"/>
        <v>3</v>
      </c>
    </row>
    <row r="335" spans="1:13" ht="56.25" customHeight="1" x14ac:dyDescent="0.3">
      <c r="A335" s="5">
        <v>333</v>
      </c>
      <c r="B335" s="5" t="s">
        <v>1297</v>
      </c>
      <c r="C335" s="5" t="s">
        <v>1298</v>
      </c>
      <c r="D335" s="6">
        <v>0.6</v>
      </c>
      <c r="H335" s="10" t="s">
        <v>1299</v>
      </c>
      <c r="I335" s="11" t="s">
        <v>1300</v>
      </c>
      <c r="J335" s="10" t="s">
        <v>872</v>
      </c>
      <c r="K335" s="11" t="s">
        <v>1296</v>
      </c>
      <c r="L335" s="18">
        <f t="shared" si="10"/>
        <v>0.24</v>
      </c>
      <c r="M335" s="15" t="str">
        <f t="shared" si="11"/>
        <v>3</v>
      </c>
    </row>
    <row r="336" spans="1:13" ht="56.25" customHeight="1" x14ac:dyDescent="0.3">
      <c r="A336" s="7">
        <v>334</v>
      </c>
      <c r="B336" s="7" t="s">
        <v>1301</v>
      </c>
      <c r="C336" s="7" t="s">
        <v>1302</v>
      </c>
      <c r="D336" s="8">
        <v>0.61</v>
      </c>
      <c r="H336" s="10" t="s">
        <v>1303</v>
      </c>
      <c r="I336" s="11" t="s">
        <v>1304</v>
      </c>
      <c r="J336" s="10" t="s">
        <v>872</v>
      </c>
      <c r="K336" s="11" t="s">
        <v>1296</v>
      </c>
      <c r="L336" s="18">
        <f t="shared" si="10"/>
        <v>0.24</v>
      </c>
      <c r="M336" s="15" t="str">
        <f t="shared" si="11"/>
        <v>3</v>
      </c>
    </row>
    <row r="337" spans="1:13" ht="56.25" customHeight="1" x14ac:dyDescent="0.3">
      <c r="A337" s="5">
        <v>335</v>
      </c>
      <c r="B337" s="5" t="s">
        <v>1305</v>
      </c>
      <c r="C337" s="5" t="s">
        <v>1306</v>
      </c>
      <c r="D337" s="6">
        <v>0.61</v>
      </c>
      <c r="H337" s="10" t="s">
        <v>1303</v>
      </c>
      <c r="I337" s="11" t="s">
        <v>1304</v>
      </c>
      <c r="J337" s="10" t="s">
        <v>1247</v>
      </c>
      <c r="K337" s="11" t="s">
        <v>1248</v>
      </c>
      <c r="L337" s="18">
        <f t="shared" si="10"/>
        <v>0.91</v>
      </c>
      <c r="M337" s="15" t="str">
        <f t="shared" si="11"/>
        <v>3</v>
      </c>
    </row>
    <row r="338" spans="1:13" ht="56.25" customHeight="1" x14ac:dyDescent="0.3">
      <c r="A338" s="7">
        <v>336</v>
      </c>
      <c r="B338" s="7" t="s">
        <v>1307</v>
      </c>
      <c r="C338" s="7" t="s">
        <v>1308</v>
      </c>
      <c r="D338" s="8">
        <v>0.61</v>
      </c>
      <c r="H338" s="10" t="s">
        <v>1309</v>
      </c>
      <c r="I338" s="11" t="s">
        <v>1310</v>
      </c>
      <c r="J338" s="10" t="s">
        <v>1191</v>
      </c>
      <c r="K338" s="11" t="s">
        <v>1311</v>
      </c>
      <c r="L338" s="18">
        <f t="shared" si="10"/>
        <v>0.52</v>
      </c>
      <c r="M338" s="15" t="str">
        <f t="shared" si="11"/>
        <v>3</v>
      </c>
    </row>
    <row r="339" spans="1:13" ht="56.25" customHeight="1" x14ac:dyDescent="0.3">
      <c r="A339" s="5">
        <v>337</v>
      </c>
      <c r="B339" s="5" t="s">
        <v>971</v>
      </c>
      <c r="C339" s="5" t="s">
        <v>1312</v>
      </c>
      <c r="D339" s="6">
        <v>0.61</v>
      </c>
      <c r="H339" s="10" t="s">
        <v>1309</v>
      </c>
      <c r="I339" s="11" t="s">
        <v>1310</v>
      </c>
      <c r="J339" s="10" t="s">
        <v>1313</v>
      </c>
      <c r="K339" s="11" t="s">
        <v>1314</v>
      </c>
      <c r="L339" s="18">
        <f t="shared" si="10"/>
        <v>0.81</v>
      </c>
      <c r="M339" s="15" t="str">
        <f t="shared" si="11"/>
        <v>3</v>
      </c>
    </row>
    <row r="340" spans="1:13" ht="56.25" customHeight="1" x14ac:dyDescent="0.3">
      <c r="A340" s="7">
        <v>338</v>
      </c>
      <c r="B340" s="7" t="s">
        <v>1315</v>
      </c>
      <c r="C340" s="7" t="s">
        <v>1316</v>
      </c>
      <c r="D340" s="8">
        <v>0.61</v>
      </c>
      <c r="H340" s="10" t="s">
        <v>1309</v>
      </c>
      <c r="I340" s="11" t="s">
        <v>1310</v>
      </c>
      <c r="J340" s="10" t="s">
        <v>1317</v>
      </c>
      <c r="K340" s="11" t="s">
        <v>1318</v>
      </c>
      <c r="L340" s="18">
        <f t="shared" si="10"/>
        <v>0.68</v>
      </c>
      <c r="M340" s="15" t="str">
        <f t="shared" si="11"/>
        <v>3</v>
      </c>
    </row>
    <row r="341" spans="1:13" ht="56.25" customHeight="1" x14ac:dyDescent="0.3">
      <c r="A341" s="5">
        <v>339</v>
      </c>
      <c r="B341" s="5" t="s">
        <v>1319</v>
      </c>
      <c r="C341" s="5" t="s">
        <v>1320</v>
      </c>
      <c r="D341" s="6">
        <v>0.61</v>
      </c>
      <c r="H341" s="10" t="s">
        <v>1309</v>
      </c>
      <c r="I341" s="11" t="s">
        <v>1310</v>
      </c>
      <c r="J341" s="10" t="s">
        <v>1321</v>
      </c>
      <c r="K341" s="11" t="s">
        <v>1322</v>
      </c>
      <c r="L341" s="18" t="str">
        <f t="shared" si="10"/>
        <v/>
      </c>
      <c r="M341" s="15" t="str">
        <f t="shared" si="11"/>
        <v>3</v>
      </c>
    </row>
    <row r="342" spans="1:13" ht="56.25" customHeight="1" x14ac:dyDescent="0.3">
      <c r="A342" s="7">
        <v>340</v>
      </c>
      <c r="B342" s="7" t="s">
        <v>1251</v>
      </c>
      <c r="C342" s="7" t="s">
        <v>1323</v>
      </c>
      <c r="D342" s="8">
        <v>0.61</v>
      </c>
      <c r="H342" s="10" t="s">
        <v>1309</v>
      </c>
      <c r="I342" s="11" t="s">
        <v>1310</v>
      </c>
      <c r="J342" s="10" t="s">
        <v>540</v>
      </c>
      <c r="K342" s="11" t="s">
        <v>1193</v>
      </c>
      <c r="L342" s="18">
        <f t="shared" si="10"/>
        <v>4.2000000000000003E-2</v>
      </c>
      <c r="M342" s="15" t="str">
        <f t="shared" si="11"/>
        <v>3</v>
      </c>
    </row>
    <row r="343" spans="1:13" ht="56.25" customHeight="1" x14ac:dyDescent="0.3">
      <c r="A343" s="5">
        <v>341</v>
      </c>
      <c r="B343" s="5" t="s">
        <v>1324</v>
      </c>
      <c r="C343" s="5" t="s">
        <v>1325</v>
      </c>
      <c r="D343" s="6">
        <v>0.61</v>
      </c>
      <c r="H343" s="10" t="s">
        <v>1326</v>
      </c>
      <c r="I343" s="11" t="s">
        <v>1327</v>
      </c>
      <c r="J343" s="10" t="s">
        <v>887</v>
      </c>
      <c r="K343" s="11" t="s">
        <v>1328</v>
      </c>
      <c r="L343" s="18">
        <f t="shared" si="10"/>
        <v>0.25</v>
      </c>
      <c r="M343" s="15" t="str">
        <f t="shared" si="11"/>
        <v>3</v>
      </c>
    </row>
    <row r="344" spans="1:13" ht="56.25" customHeight="1" x14ac:dyDescent="0.3">
      <c r="A344" s="7">
        <v>342</v>
      </c>
      <c r="B344" s="7" t="s">
        <v>1329</v>
      </c>
      <c r="C344" s="7" t="s">
        <v>1330</v>
      </c>
      <c r="D344" s="8">
        <v>0.61</v>
      </c>
      <c r="H344" s="10" t="s">
        <v>1326</v>
      </c>
      <c r="I344" s="11" t="s">
        <v>1327</v>
      </c>
      <c r="J344" s="10" t="s">
        <v>448</v>
      </c>
      <c r="K344" s="11" t="s">
        <v>1331</v>
      </c>
      <c r="L344" s="18">
        <f t="shared" si="10"/>
        <v>0.03</v>
      </c>
      <c r="M344" s="15" t="str">
        <f t="shared" si="11"/>
        <v>3</v>
      </c>
    </row>
    <row r="345" spans="1:13" ht="56.25" customHeight="1" x14ac:dyDescent="0.3">
      <c r="A345" s="5">
        <v>343</v>
      </c>
      <c r="B345" s="5" t="s">
        <v>1332</v>
      </c>
      <c r="C345" s="5" t="s">
        <v>1333</v>
      </c>
      <c r="D345" s="6">
        <v>0.62</v>
      </c>
      <c r="H345" s="10" t="s">
        <v>1326</v>
      </c>
      <c r="I345" s="11" t="s">
        <v>1327</v>
      </c>
      <c r="J345" s="10" t="s">
        <v>872</v>
      </c>
      <c r="K345" s="11" t="s">
        <v>1296</v>
      </c>
      <c r="L345" s="18">
        <f t="shared" si="10"/>
        <v>0.24</v>
      </c>
      <c r="M345" s="15" t="str">
        <f t="shared" si="11"/>
        <v>3</v>
      </c>
    </row>
    <row r="346" spans="1:13" ht="56.25" customHeight="1" x14ac:dyDescent="0.3">
      <c r="A346" s="7">
        <v>344</v>
      </c>
      <c r="B346" s="7" t="s">
        <v>1334</v>
      </c>
      <c r="C346" s="7" t="s">
        <v>1335</v>
      </c>
      <c r="D346" s="8">
        <v>0.62</v>
      </c>
      <c r="H346" s="10" t="s">
        <v>1326</v>
      </c>
      <c r="I346" s="11" t="s">
        <v>1327</v>
      </c>
      <c r="J346" s="10" t="s">
        <v>1336</v>
      </c>
      <c r="K346" s="11" t="s">
        <v>1337</v>
      </c>
      <c r="L346" s="18">
        <f t="shared" si="10"/>
        <v>0.85</v>
      </c>
      <c r="M346" s="15" t="str">
        <f t="shared" si="11"/>
        <v>3</v>
      </c>
    </row>
    <row r="347" spans="1:13" ht="56.25" customHeight="1" x14ac:dyDescent="0.3">
      <c r="A347" s="5">
        <v>345</v>
      </c>
      <c r="B347" s="5" t="s">
        <v>1338</v>
      </c>
      <c r="C347" s="5" t="s">
        <v>1339</v>
      </c>
      <c r="D347" s="6">
        <v>0.62</v>
      </c>
      <c r="H347" s="10" t="s">
        <v>1326</v>
      </c>
      <c r="I347" s="11" t="s">
        <v>1327</v>
      </c>
      <c r="J347" s="10" t="s">
        <v>205</v>
      </c>
      <c r="K347" s="11" t="s">
        <v>1340</v>
      </c>
      <c r="L347" s="18">
        <f t="shared" si="10"/>
        <v>9.4999999999999998E-3</v>
      </c>
      <c r="M347" s="15" t="str">
        <f t="shared" si="11"/>
        <v>3</v>
      </c>
    </row>
    <row r="348" spans="1:13" ht="56.25" customHeight="1" x14ac:dyDescent="0.3">
      <c r="A348" s="7">
        <v>346</v>
      </c>
      <c r="B348" s="7" t="s">
        <v>343</v>
      </c>
      <c r="C348" s="7" t="s">
        <v>1341</v>
      </c>
      <c r="D348" s="8">
        <v>0.63</v>
      </c>
      <c r="H348" s="10" t="s">
        <v>1326</v>
      </c>
      <c r="I348" s="11" t="s">
        <v>1327</v>
      </c>
      <c r="J348" s="10" t="s">
        <v>1251</v>
      </c>
      <c r="K348" s="11" t="s">
        <v>1252</v>
      </c>
      <c r="L348" s="18">
        <f t="shared" si="10"/>
        <v>0.61</v>
      </c>
      <c r="M348" s="15" t="str">
        <f t="shared" si="11"/>
        <v>3</v>
      </c>
    </row>
    <row r="349" spans="1:13" ht="56.25" customHeight="1" x14ac:dyDescent="0.3">
      <c r="A349" s="5">
        <v>347</v>
      </c>
      <c r="B349" s="5" t="s">
        <v>1342</v>
      </c>
      <c r="C349" s="5" t="s">
        <v>1343</v>
      </c>
      <c r="D349" s="6">
        <v>0.63</v>
      </c>
      <c r="H349" s="11" t="s">
        <v>1326</v>
      </c>
      <c r="I349" s="11" t="s">
        <v>1327</v>
      </c>
      <c r="J349" s="11" t="s">
        <v>45</v>
      </c>
      <c r="K349" s="11" t="s">
        <v>1265</v>
      </c>
      <c r="L349" s="18">
        <f t="shared" si="10"/>
        <v>3.5999999999999999E-3</v>
      </c>
      <c r="M349" s="15" t="str">
        <f t="shared" si="11"/>
        <v>3</v>
      </c>
    </row>
    <row r="350" spans="1:13" ht="56.25" customHeight="1" x14ac:dyDescent="0.3">
      <c r="A350" s="7">
        <v>348</v>
      </c>
      <c r="B350" s="7" t="s">
        <v>1344</v>
      </c>
      <c r="C350" s="7" t="s">
        <v>1345</v>
      </c>
      <c r="D350" s="8">
        <v>0.63</v>
      </c>
      <c r="H350" s="10" t="s">
        <v>1326</v>
      </c>
      <c r="I350" s="11" t="s">
        <v>1327</v>
      </c>
      <c r="J350" s="10" t="s">
        <v>1137</v>
      </c>
      <c r="K350" s="11" t="s">
        <v>1267</v>
      </c>
      <c r="L350" s="18">
        <f t="shared" si="10"/>
        <v>0.48</v>
      </c>
      <c r="M350" s="15" t="str">
        <f t="shared" si="11"/>
        <v>3</v>
      </c>
    </row>
    <row r="351" spans="1:13" ht="56.25" customHeight="1" x14ac:dyDescent="0.3">
      <c r="A351" s="5">
        <v>349</v>
      </c>
      <c r="B351" s="5" t="s">
        <v>1346</v>
      </c>
      <c r="C351" s="5" t="s">
        <v>1347</v>
      </c>
      <c r="D351" s="6">
        <v>0.63</v>
      </c>
      <c r="H351" s="10" t="s">
        <v>1326</v>
      </c>
      <c r="I351" s="11" t="s">
        <v>1327</v>
      </c>
      <c r="J351" s="10" t="s">
        <v>567</v>
      </c>
      <c r="K351" s="11" t="s">
        <v>1348</v>
      </c>
      <c r="L351" s="18">
        <f t="shared" si="10"/>
        <v>4.8000000000000001E-2</v>
      </c>
      <c r="M351" s="15" t="str">
        <f t="shared" si="11"/>
        <v>3</v>
      </c>
    </row>
    <row r="352" spans="1:13" ht="56.25" customHeight="1" x14ac:dyDescent="0.3">
      <c r="A352" s="7">
        <v>350</v>
      </c>
      <c r="B352" s="7" t="s">
        <v>1270</v>
      </c>
      <c r="C352" s="7" t="s">
        <v>1349</v>
      </c>
      <c r="D352" s="8">
        <v>0.63</v>
      </c>
      <c r="H352" s="10" t="s">
        <v>1326</v>
      </c>
      <c r="I352" s="11" t="s">
        <v>1327</v>
      </c>
      <c r="J352" s="10" t="s">
        <v>1350</v>
      </c>
      <c r="K352" s="11" t="s">
        <v>1351</v>
      </c>
      <c r="L352" s="18">
        <f t="shared" si="10"/>
        <v>0.9</v>
      </c>
      <c r="M352" s="15" t="str">
        <f t="shared" si="11"/>
        <v>3</v>
      </c>
    </row>
    <row r="353" spans="1:13" ht="56.25" customHeight="1" x14ac:dyDescent="0.3">
      <c r="A353" s="5">
        <v>351</v>
      </c>
      <c r="B353" s="5" t="s">
        <v>1352</v>
      </c>
      <c r="C353" s="5" t="s">
        <v>1353</v>
      </c>
      <c r="D353" s="6">
        <v>0.64</v>
      </c>
      <c r="H353" s="10" t="s">
        <v>1354</v>
      </c>
      <c r="I353" s="11" t="s">
        <v>1355</v>
      </c>
      <c r="J353" s="10" t="s">
        <v>787</v>
      </c>
      <c r="K353" s="11" t="s">
        <v>1356</v>
      </c>
      <c r="L353" s="18">
        <f t="shared" si="10"/>
        <v>0.17</v>
      </c>
      <c r="M353" s="15" t="str">
        <f t="shared" si="11"/>
        <v>3</v>
      </c>
    </row>
    <row r="354" spans="1:13" ht="56.25" customHeight="1" x14ac:dyDescent="0.3">
      <c r="A354" s="7">
        <v>352</v>
      </c>
      <c r="B354" s="7" t="s">
        <v>1357</v>
      </c>
      <c r="C354" s="7" t="s">
        <v>1358</v>
      </c>
      <c r="D354" s="8">
        <v>0.64</v>
      </c>
      <c r="H354" s="10" t="s">
        <v>1359</v>
      </c>
      <c r="I354" s="11" t="s">
        <v>1360</v>
      </c>
      <c r="J354" s="10" t="s">
        <v>309</v>
      </c>
      <c r="K354" s="11" t="s">
        <v>1361</v>
      </c>
      <c r="L354" s="18">
        <f t="shared" si="10"/>
        <v>1.6E-2</v>
      </c>
      <c r="M354" s="15" t="str">
        <f t="shared" si="11"/>
        <v>3</v>
      </c>
    </row>
    <row r="355" spans="1:13" ht="56.25" customHeight="1" x14ac:dyDescent="0.3">
      <c r="A355" s="5">
        <v>353</v>
      </c>
      <c r="B355" s="5" t="s">
        <v>1061</v>
      </c>
      <c r="C355" s="5" t="s">
        <v>1362</v>
      </c>
      <c r="D355" s="6">
        <v>0.64</v>
      </c>
      <c r="H355" s="10" t="s">
        <v>1363</v>
      </c>
      <c r="I355" s="11" t="s">
        <v>1364</v>
      </c>
      <c r="J355" s="10" t="s">
        <v>787</v>
      </c>
      <c r="K355" s="11" t="s">
        <v>1356</v>
      </c>
      <c r="L355" s="18">
        <f t="shared" si="10"/>
        <v>0.17</v>
      </c>
      <c r="M355" s="15" t="str">
        <f t="shared" si="11"/>
        <v>3</v>
      </c>
    </row>
    <row r="356" spans="1:13" ht="56.25" customHeight="1" x14ac:dyDescent="0.3">
      <c r="A356" s="7">
        <v>354</v>
      </c>
      <c r="B356" s="7" t="s">
        <v>1365</v>
      </c>
      <c r="C356" s="7" t="s">
        <v>1366</v>
      </c>
      <c r="D356" s="8">
        <v>0.64</v>
      </c>
      <c r="H356" s="10" t="s">
        <v>1367</v>
      </c>
      <c r="I356" s="11" t="s">
        <v>1368</v>
      </c>
      <c r="J356" s="10" t="s">
        <v>309</v>
      </c>
      <c r="K356" s="11" t="s">
        <v>1361</v>
      </c>
      <c r="L356" s="18">
        <f t="shared" si="10"/>
        <v>1.6E-2</v>
      </c>
      <c r="M356" s="15" t="str">
        <f t="shared" si="11"/>
        <v>3</v>
      </c>
    </row>
    <row r="357" spans="1:13" ht="56.25" customHeight="1" x14ac:dyDescent="0.3">
      <c r="A357" s="5">
        <v>355</v>
      </c>
      <c r="B357" s="5" t="s">
        <v>1369</v>
      </c>
      <c r="C357" s="5" t="s">
        <v>1370</v>
      </c>
      <c r="D357" s="6">
        <v>0.64</v>
      </c>
      <c r="H357" s="10" t="s">
        <v>1367</v>
      </c>
      <c r="I357" s="11" t="s">
        <v>1368</v>
      </c>
      <c r="J357" s="10" t="s">
        <v>1371</v>
      </c>
      <c r="K357" s="11" t="s">
        <v>1372</v>
      </c>
      <c r="L357" s="18">
        <f t="shared" si="10"/>
        <v>0.95</v>
      </c>
      <c r="M357" s="15" t="str">
        <f t="shared" si="11"/>
        <v>3</v>
      </c>
    </row>
    <row r="358" spans="1:13" ht="56.25" customHeight="1" x14ac:dyDescent="0.3">
      <c r="A358" s="7">
        <v>356</v>
      </c>
      <c r="B358" s="7" t="s">
        <v>1373</v>
      </c>
      <c r="C358" s="7" t="s">
        <v>1374</v>
      </c>
      <c r="D358" s="8">
        <v>0.64</v>
      </c>
      <c r="H358" s="10" t="s">
        <v>1367</v>
      </c>
      <c r="I358" s="11" t="s">
        <v>1368</v>
      </c>
      <c r="J358" s="10" t="s">
        <v>1369</v>
      </c>
      <c r="K358" s="11" t="s">
        <v>1375</v>
      </c>
      <c r="L358" s="18">
        <f t="shared" si="10"/>
        <v>0.64</v>
      </c>
      <c r="M358" s="15" t="str">
        <f t="shared" si="11"/>
        <v>3</v>
      </c>
    </row>
    <row r="359" spans="1:13" ht="56.25" customHeight="1" x14ac:dyDescent="0.3">
      <c r="A359" s="5">
        <v>357</v>
      </c>
      <c r="B359" s="5" t="s">
        <v>1376</v>
      </c>
      <c r="C359" s="5" t="s">
        <v>1377</v>
      </c>
      <c r="D359" s="6">
        <v>0.65</v>
      </c>
      <c r="H359" s="10" t="s">
        <v>1367</v>
      </c>
      <c r="I359" s="11" t="s">
        <v>1368</v>
      </c>
      <c r="J359" s="10" t="s">
        <v>1378</v>
      </c>
      <c r="K359" s="11" t="s">
        <v>1379</v>
      </c>
      <c r="L359" s="18">
        <f t="shared" si="10"/>
        <v>0.85</v>
      </c>
      <c r="M359" s="15" t="str">
        <f t="shared" si="11"/>
        <v>3</v>
      </c>
    </row>
    <row r="360" spans="1:13" ht="56.25" customHeight="1" x14ac:dyDescent="0.3">
      <c r="A360" s="7">
        <v>358</v>
      </c>
      <c r="B360" s="7" t="s">
        <v>1380</v>
      </c>
      <c r="C360" s="7" t="s">
        <v>1381</v>
      </c>
      <c r="D360" s="8">
        <v>0.65</v>
      </c>
      <c r="H360" s="10" t="s">
        <v>1382</v>
      </c>
      <c r="I360" s="11" t="s">
        <v>1383</v>
      </c>
      <c r="J360" s="10" t="s">
        <v>309</v>
      </c>
      <c r="K360" s="11" t="s">
        <v>1361</v>
      </c>
      <c r="L360" s="18">
        <f t="shared" si="10"/>
        <v>1.6E-2</v>
      </c>
      <c r="M360" s="15" t="str">
        <f t="shared" si="11"/>
        <v>3</v>
      </c>
    </row>
    <row r="361" spans="1:13" ht="56.25" customHeight="1" x14ac:dyDescent="0.3">
      <c r="A361" s="5">
        <v>359</v>
      </c>
      <c r="B361" s="5" t="s">
        <v>1384</v>
      </c>
      <c r="C361" s="5" t="s">
        <v>1385</v>
      </c>
      <c r="D361" s="6">
        <v>0.65</v>
      </c>
      <c r="H361" s="10" t="s">
        <v>1382</v>
      </c>
      <c r="I361" s="11" t="s">
        <v>1383</v>
      </c>
      <c r="J361" s="10" t="s">
        <v>1319</v>
      </c>
      <c r="K361" s="11" t="s">
        <v>1386</v>
      </c>
      <c r="L361" s="18">
        <f t="shared" si="10"/>
        <v>0.61</v>
      </c>
      <c r="M361" s="15" t="str">
        <f t="shared" si="11"/>
        <v>3</v>
      </c>
    </row>
    <row r="362" spans="1:13" ht="56.25" customHeight="1" x14ac:dyDescent="0.3">
      <c r="A362" s="7">
        <v>360</v>
      </c>
      <c r="B362" s="7" t="s">
        <v>1083</v>
      </c>
      <c r="C362" s="7" t="s">
        <v>1084</v>
      </c>
      <c r="D362" s="8">
        <v>0.65</v>
      </c>
      <c r="H362" s="10" t="s">
        <v>1382</v>
      </c>
      <c r="I362" s="11" t="s">
        <v>1383</v>
      </c>
      <c r="J362" s="10" t="s">
        <v>1387</v>
      </c>
      <c r="K362" s="11" t="s">
        <v>1388</v>
      </c>
      <c r="L362" s="18">
        <f t="shared" si="10"/>
        <v>0.86</v>
      </c>
      <c r="M362" s="15" t="str">
        <f t="shared" si="11"/>
        <v>3</v>
      </c>
    </row>
    <row r="363" spans="1:13" ht="56.25" customHeight="1" x14ac:dyDescent="0.3">
      <c r="A363" s="5">
        <v>361</v>
      </c>
      <c r="B363" s="5" t="s">
        <v>1389</v>
      </c>
      <c r="C363" s="5" t="s">
        <v>1390</v>
      </c>
      <c r="D363" s="6">
        <v>0.65</v>
      </c>
      <c r="H363" s="10" t="s">
        <v>1382</v>
      </c>
      <c r="I363" s="11" t="s">
        <v>1383</v>
      </c>
      <c r="J363" s="10" t="s">
        <v>1391</v>
      </c>
      <c r="K363" s="11" t="s">
        <v>1392</v>
      </c>
      <c r="L363" s="18">
        <f t="shared" si="10"/>
        <v>0.9</v>
      </c>
      <c r="M363" s="15" t="str">
        <f t="shared" si="11"/>
        <v>3</v>
      </c>
    </row>
    <row r="364" spans="1:13" ht="56.25" customHeight="1" x14ac:dyDescent="0.3">
      <c r="A364" s="7">
        <v>362</v>
      </c>
      <c r="B364" s="7" t="s">
        <v>1393</v>
      </c>
      <c r="C364" s="7" t="s">
        <v>1394</v>
      </c>
      <c r="D364" s="8">
        <v>0.65</v>
      </c>
      <c r="H364" s="10" t="s">
        <v>1395</v>
      </c>
      <c r="I364" s="11" t="s">
        <v>1396</v>
      </c>
      <c r="J364" s="10" t="s">
        <v>1397</v>
      </c>
      <c r="K364" s="11" t="s">
        <v>1398</v>
      </c>
      <c r="L364" s="18">
        <f t="shared" si="10"/>
        <v>0.85</v>
      </c>
      <c r="M364" s="15" t="str">
        <f t="shared" si="11"/>
        <v>3</v>
      </c>
    </row>
    <row r="365" spans="1:13" ht="56.25" customHeight="1" x14ac:dyDescent="0.3">
      <c r="A365" s="5">
        <v>363</v>
      </c>
      <c r="B365" s="5" t="s">
        <v>1399</v>
      </c>
      <c r="C365" s="5" t="s">
        <v>1400</v>
      </c>
      <c r="D365" s="6">
        <v>0.65</v>
      </c>
      <c r="H365" s="10" t="s">
        <v>1401</v>
      </c>
      <c r="I365" s="11" t="s">
        <v>1402</v>
      </c>
      <c r="J365" s="10" t="s">
        <v>1403</v>
      </c>
      <c r="K365" s="11" t="s">
        <v>1404</v>
      </c>
      <c r="L365" s="18">
        <f t="shared" si="10"/>
        <v>0.78</v>
      </c>
      <c r="M365" s="15" t="str">
        <f t="shared" si="11"/>
        <v>3</v>
      </c>
    </row>
    <row r="366" spans="1:13" ht="56.25" customHeight="1" x14ac:dyDescent="0.3">
      <c r="A366" s="7">
        <v>364</v>
      </c>
      <c r="B366" s="7" t="s">
        <v>1405</v>
      </c>
      <c r="C366" s="7" t="s">
        <v>1406</v>
      </c>
      <c r="D366" s="8">
        <v>0.66</v>
      </c>
      <c r="H366" s="10" t="s">
        <v>1401</v>
      </c>
      <c r="I366" s="11" t="s">
        <v>1402</v>
      </c>
      <c r="J366" s="10" t="s">
        <v>1407</v>
      </c>
      <c r="K366" s="11" t="s">
        <v>1408</v>
      </c>
      <c r="L366" s="18">
        <f t="shared" si="10"/>
        <v>0.71</v>
      </c>
      <c r="M366" s="15" t="str">
        <f t="shared" si="11"/>
        <v>3</v>
      </c>
    </row>
    <row r="367" spans="1:13" ht="56.25" customHeight="1" x14ac:dyDescent="0.3">
      <c r="A367" s="5">
        <v>365</v>
      </c>
      <c r="B367" s="5" t="s">
        <v>1409</v>
      </c>
      <c r="C367" s="5" t="s">
        <v>1410</v>
      </c>
      <c r="D367" s="6">
        <v>0.66</v>
      </c>
      <c r="H367" s="10" t="s">
        <v>1401</v>
      </c>
      <c r="I367" s="11" t="s">
        <v>1402</v>
      </c>
      <c r="J367" s="10" t="s">
        <v>1411</v>
      </c>
      <c r="K367" s="11" t="s">
        <v>1412</v>
      </c>
      <c r="L367" s="18">
        <f t="shared" si="10"/>
        <v>0.91</v>
      </c>
      <c r="M367" s="15" t="str">
        <f t="shared" si="11"/>
        <v>3</v>
      </c>
    </row>
    <row r="368" spans="1:13" ht="56.25" customHeight="1" x14ac:dyDescent="0.3">
      <c r="A368" s="7">
        <v>366</v>
      </c>
      <c r="B368" s="7" t="s">
        <v>1413</v>
      </c>
      <c r="C368" s="7" t="s">
        <v>1414</v>
      </c>
      <c r="D368" s="8">
        <v>0.66</v>
      </c>
      <c r="H368" s="10" t="s">
        <v>1401</v>
      </c>
      <c r="I368" s="11" t="s">
        <v>1402</v>
      </c>
      <c r="J368" s="10" t="s">
        <v>1391</v>
      </c>
      <c r="K368" s="11" t="s">
        <v>1392</v>
      </c>
      <c r="L368" s="18">
        <f t="shared" si="10"/>
        <v>0.9</v>
      </c>
      <c r="M368" s="15" t="str">
        <f t="shared" si="11"/>
        <v>3</v>
      </c>
    </row>
    <row r="369" spans="1:13" ht="56.25" customHeight="1" x14ac:dyDescent="0.3">
      <c r="A369" s="5">
        <v>367</v>
      </c>
      <c r="B369" s="5" t="s">
        <v>1415</v>
      </c>
      <c r="C369" s="5" t="s">
        <v>1416</v>
      </c>
      <c r="D369" s="6">
        <v>0.66</v>
      </c>
      <c r="H369" s="10" t="s">
        <v>1417</v>
      </c>
      <c r="I369" s="11" t="s">
        <v>1418</v>
      </c>
      <c r="J369" s="10" t="s">
        <v>1419</v>
      </c>
      <c r="K369" s="11" t="s">
        <v>1420</v>
      </c>
      <c r="L369" s="18">
        <f t="shared" si="10"/>
        <v>0.88</v>
      </c>
      <c r="M369" s="15" t="str">
        <f t="shared" si="11"/>
        <v>3</v>
      </c>
    </row>
    <row r="370" spans="1:13" ht="56.25" customHeight="1" x14ac:dyDescent="0.3">
      <c r="A370" s="7">
        <v>368</v>
      </c>
      <c r="B370" s="7" t="s">
        <v>1421</v>
      </c>
      <c r="C370" s="7" t="s">
        <v>1422</v>
      </c>
      <c r="D370" s="8">
        <v>0.66</v>
      </c>
      <c r="H370" s="10" t="s">
        <v>1423</v>
      </c>
      <c r="I370" s="11" t="s">
        <v>1424</v>
      </c>
      <c r="J370" s="10" t="s">
        <v>995</v>
      </c>
      <c r="K370" s="11" t="s">
        <v>1425</v>
      </c>
      <c r="L370" s="18">
        <f t="shared" si="10"/>
        <v>0.36</v>
      </c>
      <c r="M370" s="15" t="str">
        <f t="shared" si="11"/>
        <v>3</v>
      </c>
    </row>
    <row r="371" spans="1:13" ht="56.25" customHeight="1" x14ac:dyDescent="0.3">
      <c r="A371" s="5">
        <v>369</v>
      </c>
      <c r="B371" s="5" t="s">
        <v>1426</v>
      </c>
      <c r="C371" s="5" t="s">
        <v>1427</v>
      </c>
      <c r="D371" s="6">
        <v>0.67</v>
      </c>
      <c r="H371" s="10" t="s">
        <v>1428</v>
      </c>
      <c r="I371" s="11" t="s">
        <v>1429</v>
      </c>
      <c r="J371" s="10" t="s">
        <v>936</v>
      </c>
      <c r="K371" s="11" t="s">
        <v>1430</v>
      </c>
      <c r="L371" s="18">
        <f t="shared" si="10"/>
        <v>0.3</v>
      </c>
      <c r="M371" s="15" t="str">
        <f t="shared" si="11"/>
        <v>3</v>
      </c>
    </row>
    <row r="372" spans="1:13" ht="56.25" customHeight="1" x14ac:dyDescent="0.3">
      <c r="A372" s="7">
        <v>370</v>
      </c>
      <c r="B372" s="7" t="s">
        <v>1431</v>
      </c>
      <c r="C372" s="7" t="s">
        <v>1432</v>
      </c>
      <c r="D372" s="8">
        <v>0.67</v>
      </c>
      <c r="H372" s="10" t="s">
        <v>1428</v>
      </c>
      <c r="I372" s="11" t="s">
        <v>1429</v>
      </c>
      <c r="J372" s="10" t="s">
        <v>1433</v>
      </c>
      <c r="K372" s="11" t="s">
        <v>1434</v>
      </c>
      <c r="L372" s="18">
        <f t="shared" si="10"/>
        <v>0.77</v>
      </c>
      <c r="M372" s="15" t="str">
        <f t="shared" si="11"/>
        <v>3</v>
      </c>
    </row>
    <row r="373" spans="1:13" ht="56.25" customHeight="1" x14ac:dyDescent="0.3">
      <c r="A373" s="5">
        <v>371</v>
      </c>
      <c r="B373" s="5" t="s">
        <v>329</v>
      </c>
      <c r="C373" s="5" t="s">
        <v>1435</v>
      </c>
      <c r="D373" s="6">
        <v>0.67</v>
      </c>
      <c r="H373" s="10" t="s">
        <v>1436</v>
      </c>
      <c r="I373" s="11" t="s">
        <v>1437</v>
      </c>
      <c r="J373" s="10" t="s">
        <v>1438</v>
      </c>
      <c r="K373" s="11" t="s">
        <v>1439</v>
      </c>
      <c r="L373" s="18">
        <f t="shared" si="10"/>
        <v>0.97</v>
      </c>
      <c r="M373" s="15" t="str">
        <f t="shared" si="11"/>
        <v>3</v>
      </c>
    </row>
    <row r="374" spans="1:13" ht="56.25" customHeight="1" x14ac:dyDescent="0.3">
      <c r="A374" s="7">
        <v>372</v>
      </c>
      <c r="B374" s="7" t="s">
        <v>1440</v>
      </c>
      <c r="C374" s="7" t="s">
        <v>1441</v>
      </c>
      <c r="D374" s="8">
        <v>0.67</v>
      </c>
      <c r="H374" s="10" t="s">
        <v>1442</v>
      </c>
      <c r="I374" s="11" t="s">
        <v>1443</v>
      </c>
      <c r="J374" s="10" t="s">
        <v>1102</v>
      </c>
      <c r="K374" s="11" t="s">
        <v>1444</v>
      </c>
      <c r="L374" s="18">
        <f t="shared" si="10"/>
        <v>0.42</v>
      </c>
      <c r="M374" s="15" t="str">
        <f t="shared" si="11"/>
        <v>3</v>
      </c>
    </row>
    <row r="375" spans="1:13" ht="56.25" customHeight="1" x14ac:dyDescent="0.3">
      <c r="A375" s="5">
        <v>373</v>
      </c>
      <c r="B375" s="5" t="s">
        <v>1445</v>
      </c>
      <c r="C375" s="5" t="s">
        <v>1446</v>
      </c>
      <c r="D375" s="6">
        <v>0.67</v>
      </c>
      <c r="H375" s="10" t="s">
        <v>1447</v>
      </c>
      <c r="I375" s="11" t="s">
        <v>1448</v>
      </c>
      <c r="J375" s="10" t="s">
        <v>1449</v>
      </c>
      <c r="K375" s="11" t="s">
        <v>1450</v>
      </c>
      <c r="L375" s="18">
        <f t="shared" si="10"/>
        <v>0.71</v>
      </c>
      <c r="M375" s="15" t="str">
        <f t="shared" si="11"/>
        <v>3</v>
      </c>
    </row>
    <row r="376" spans="1:13" ht="56.25" customHeight="1" x14ac:dyDescent="0.3">
      <c r="A376" s="7">
        <v>374</v>
      </c>
      <c r="B376" s="7" t="s">
        <v>1451</v>
      </c>
      <c r="C376" s="7" t="s">
        <v>1452</v>
      </c>
      <c r="D376" s="8">
        <v>0.67</v>
      </c>
      <c r="H376" s="11" t="s">
        <v>1453</v>
      </c>
      <c r="I376" s="11" t="s">
        <v>1454</v>
      </c>
      <c r="J376" s="11" t="s">
        <v>439</v>
      </c>
      <c r="K376" s="11" t="s">
        <v>1455</v>
      </c>
      <c r="L376" s="18">
        <f t="shared" si="10"/>
        <v>2.9000000000000001E-2</v>
      </c>
      <c r="M376" s="15" t="str">
        <f t="shared" si="11"/>
        <v>3</v>
      </c>
    </row>
    <row r="377" spans="1:13" ht="56.25" customHeight="1" x14ac:dyDescent="0.3">
      <c r="A377" s="5">
        <v>375</v>
      </c>
      <c r="B377" s="5" t="s">
        <v>1456</v>
      </c>
      <c r="C377" s="5" t="s">
        <v>1457</v>
      </c>
      <c r="D377" s="6">
        <v>0.68</v>
      </c>
      <c r="H377" s="10" t="s">
        <v>1453</v>
      </c>
      <c r="I377" s="11" t="s">
        <v>1454</v>
      </c>
      <c r="J377" s="10" t="s">
        <v>531</v>
      </c>
      <c r="K377" s="11" t="s">
        <v>1458</v>
      </c>
      <c r="L377" s="18">
        <f t="shared" si="10"/>
        <v>4.1000000000000002E-2</v>
      </c>
      <c r="M377" s="15" t="str">
        <f t="shared" si="11"/>
        <v>3</v>
      </c>
    </row>
    <row r="378" spans="1:13" ht="56.25" customHeight="1" x14ac:dyDescent="0.3">
      <c r="A378" s="7">
        <v>376</v>
      </c>
      <c r="B378" s="7" t="s">
        <v>1459</v>
      </c>
      <c r="C378" s="7" t="s">
        <v>1460</v>
      </c>
      <c r="D378" s="8">
        <v>0.68</v>
      </c>
      <c r="H378" s="11" t="s">
        <v>1461</v>
      </c>
      <c r="I378" s="11" t="s">
        <v>1462</v>
      </c>
      <c r="J378" s="11" t="s">
        <v>439</v>
      </c>
      <c r="K378" s="11" t="s">
        <v>1455</v>
      </c>
      <c r="L378" s="18">
        <f t="shared" si="10"/>
        <v>2.9000000000000001E-2</v>
      </c>
      <c r="M378" s="15" t="str">
        <f t="shared" si="11"/>
        <v>3</v>
      </c>
    </row>
    <row r="379" spans="1:13" ht="56.25" customHeight="1" x14ac:dyDescent="0.3">
      <c r="A379" s="5">
        <v>377</v>
      </c>
      <c r="B379" s="5" t="s">
        <v>1463</v>
      </c>
      <c r="C379" s="5" t="s">
        <v>1464</v>
      </c>
      <c r="D379" s="6">
        <v>0.68</v>
      </c>
      <c r="H379" s="10" t="s">
        <v>1461</v>
      </c>
      <c r="I379" s="11" t="s">
        <v>1462</v>
      </c>
      <c r="J379" s="10" t="s">
        <v>903</v>
      </c>
      <c r="K379" s="11" t="s">
        <v>1465</v>
      </c>
      <c r="L379" s="18">
        <f t="shared" si="10"/>
        <v>0.27</v>
      </c>
      <c r="M379" s="15" t="str">
        <f t="shared" si="11"/>
        <v>3</v>
      </c>
    </row>
    <row r="380" spans="1:13" ht="56.25" customHeight="1" x14ac:dyDescent="0.3">
      <c r="A380" s="7">
        <v>378</v>
      </c>
      <c r="B380" s="7" t="s">
        <v>1317</v>
      </c>
      <c r="C380" s="7" t="s">
        <v>1466</v>
      </c>
      <c r="D380" s="8">
        <v>0.68</v>
      </c>
      <c r="H380" s="11" t="s">
        <v>1467</v>
      </c>
      <c r="I380" s="11" t="s">
        <v>1468</v>
      </c>
      <c r="J380" s="11" t="s">
        <v>439</v>
      </c>
      <c r="K380" s="11" t="s">
        <v>1455</v>
      </c>
      <c r="L380" s="18">
        <f t="shared" si="10"/>
        <v>2.9000000000000001E-2</v>
      </c>
      <c r="M380" s="15" t="str">
        <f t="shared" si="11"/>
        <v>3</v>
      </c>
    </row>
    <row r="381" spans="1:13" ht="56.25" customHeight="1" x14ac:dyDescent="0.3">
      <c r="A381" s="5">
        <v>379</v>
      </c>
      <c r="B381" s="5" t="s">
        <v>1469</v>
      </c>
      <c r="C381" s="5" t="s">
        <v>1470</v>
      </c>
      <c r="D381" s="6">
        <v>0.68</v>
      </c>
      <c r="H381" s="10" t="s">
        <v>1467</v>
      </c>
      <c r="I381" s="11" t="s">
        <v>1468</v>
      </c>
      <c r="J381" s="10" t="s">
        <v>807</v>
      </c>
      <c r="K381" s="11" t="s">
        <v>1471</v>
      </c>
      <c r="L381" s="18">
        <f t="shared" si="10"/>
        <v>0.18</v>
      </c>
      <c r="M381" s="15" t="str">
        <f t="shared" si="11"/>
        <v>3</v>
      </c>
    </row>
    <row r="382" spans="1:13" ht="56.25" customHeight="1" x14ac:dyDescent="0.3">
      <c r="A382" s="7">
        <v>380</v>
      </c>
      <c r="B382" s="7" t="s">
        <v>1472</v>
      </c>
      <c r="C382" s="7" t="s">
        <v>1473</v>
      </c>
      <c r="D382" s="8">
        <v>0.69</v>
      </c>
      <c r="H382" s="10" t="s">
        <v>1467</v>
      </c>
      <c r="I382" s="11" t="s">
        <v>1468</v>
      </c>
      <c r="J382" s="10" t="s">
        <v>1222</v>
      </c>
      <c r="K382" s="11" t="s">
        <v>1474</v>
      </c>
      <c r="L382" s="18">
        <f t="shared" si="10"/>
        <v>0.55000000000000004</v>
      </c>
      <c r="M382" s="15" t="str">
        <f t="shared" si="11"/>
        <v>3</v>
      </c>
    </row>
    <row r="383" spans="1:13" ht="56.25" customHeight="1" x14ac:dyDescent="0.3">
      <c r="A383" s="5">
        <v>381</v>
      </c>
      <c r="B383" s="5" t="s">
        <v>1475</v>
      </c>
      <c r="C383" s="5" t="s">
        <v>1476</v>
      </c>
      <c r="D383" s="6">
        <v>0.69</v>
      </c>
      <c r="H383" s="11" t="s">
        <v>1477</v>
      </c>
      <c r="I383" s="11" t="s">
        <v>712</v>
      </c>
      <c r="J383" s="11" t="s">
        <v>439</v>
      </c>
      <c r="K383" s="11" t="s">
        <v>1455</v>
      </c>
      <c r="L383" s="18">
        <f t="shared" si="10"/>
        <v>2.9000000000000001E-2</v>
      </c>
      <c r="M383" s="15" t="str">
        <f t="shared" si="11"/>
        <v>3</v>
      </c>
    </row>
    <row r="384" spans="1:13" ht="56.25" customHeight="1" x14ac:dyDescent="0.3">
      <c r="A384" s="7">
        <v>382</v>
      </c>
      <c r="B384" s="7" t="s">
        <v>1478</v>
      </c>
      <c r="C384" s="7" t="s">
        <v>1479</v>
      </c>
      <c r="D384" s="8">
        <v>0.69</v>
      </c>
      <c r="H384" s="10" t="s">
        <v>1477</v>
      </c>
      <c r="I384" s="11" t="s">
        <v>712</v>
      </c>
      <c r="J384" s="10" t="s">
        <v>711</v>
      </c>
      <c r="K384" s="11" t="s">
        <v>1480</v>
      </c>
      <c r="L384" s="18">
        <f t="shared" si="10"/>
        <v>0.11</v>
      </c>
      <c r="M384" s="15" t="str">
        <f t="shared" si="11"/>
        <v>3</v>
      </c>
    </row>
    <row r="385" spans="1:13" ht="56.25" customHeight="1" x14ac:dyDescent="0.3">
      <c r="A385" s="5">
        <v>383</v>
      </c>
      <c r="B385" s="5" t="s">
        <v>1481</v>
      </c>
      <c r="C385" s="5" t="s">
        <v>1482</v>
      </c>
      <c r="D385" s="6">
        <v>0.7</v>
      </c>
      <c r="H385" s="11" t="s">
        <v>1483</v>
      </c>
      <c r="I385" s="11" t="s">
        <v>1484</v>
      </c>
      <c r="J385" s="11" t="s">
        <v>1276</v>
      </c>
      <c r="K385" s="11" t="s">
        <v>1277</v>
      </c>
      <c r="L385" s="18">
        <f t="shared" si="10"/>
        <v>0.84</v>
      </c>
      <c r="M385" s="15" t="str">
        <f t="shared" si="11"/>
        <v>3</v>
      </c>
    </row>
    <row r="386" spans="1:13" ht="56.25" customHeight="1" x14ac:dyDescent="0.3">
      <c r="A386" s="7">
        <v>384</v>
      </c>
      <c r="B386" s="7" t="s">
        <v>1485</v>
      </c>
      <c r="C386" s="7" t="s">
        <v>1486</v>
      </c>
      <c r="D386" s="8">
        <v>0.7</v>
      </c>
      <c r="H386" s="11" t="s">
        <v>1487</v>
      </c>
      <c r="I386" s="11" t="s">
        <v>1488</v>
      </c>
      <c r="J386" s="11" t="s">
        <v>976</v>
      </c>
      <c r="K386" s="11" t="s">
        <v>1489</v>
      </c>
      <c r="L386" s="18">
        <f t="shared" si="10"/>
        <v>0.34</v>
      </c>
      <c r="M386" s="15" t="str">
        <f t="shared" si="11"/>
        <v>3</v>
      </c>
    </row>
    <row r="387" spans="1:13" ht="56.25" customHeight="1" x14ac:dyDescent="0.3">
      <c r="A387" s="5">
        <v>385</v>
      </c>
      <c r="B387" s="5" t="s">
        <v>1490</v>
      </c>
      <c r="C387" s="5" t="s">
        <v>1491</v>
      </c>
      <c r="D387" s="6">
        <v>0.7</v>
      </c>
      <c r="H387" s="10" t="s">
        <v>1487</v>
      </c>
      <c r="I387" s="11" t="s">
        <v>1488</v>
      </c>
      <c r="J387" s="10" t="s">
        <v>989</v>
      </c>
      <c r="K387" s="11" t="s">
        <v>1492</v>
      </c>
      <c r="L387" s="18">
        <f t="shared" ref="L387:L450" si="12">IFERROR(INDEX($D$3:$D$704,MATCH(TRIM(J387),$B$3:$B$704,0)),"")</f>
        <v>0.35</v>
      </c>
      <c r="M387" s="15" t="str">
        <f t="shared" ref="M387:M450" si="13">LEFT(TEXT(H387,"0000")*0.1)</f>
        <v>3</v>
      </c>
    </row>
    <row r="388" spans="1:13" ht="56.25" customHeight="1" x14ac:dyDescent="0.3">
      <c r="A388" s="7">
        <v>386</v>
      </c>
      <c r="B388" s="7" t="s">
        <v>1493</v>
      </c>
      <c r="C388" s="7" t="s">
        <v>1494</v>
      </c>
      <c r="D388" s="8">
        <v>0.7</v>
      </c>
      <c r="H388" s="10" t="s">
        <v>1487</v>
      </c>
      <c r="I388" s="11" t="s">
        <v>1488</v>
      </c>
      <c r="J388" s="10" t="s">
        <v>719</v>
      </c>
      <c r="K388" s="11" t="s">
        <v>1495</v>
      </c>
      <c r="L388" s="18">
        <f t="shared" si="12"/>
        <v>0.13</v>
      </c>
      <c r="M388" s="15" t="str">
        <f t="shared" si="13"/>
        <v>3</v>
      </c>
    </row>
    <row r="389" spans="1:13" ht="56.25" customHeight="1" x14ac:dyDescent="0.3">
      <c r="A389" s="5">
        <v>387</v>
      </c>
      <c r="B389" s="5" t="s">
        <v>1496</v>
      </c>
      <c r="C389" s="5" t="s">
        <v>1497</v>
      </c>
      <c r="D389" s="6">
        <v>0.71</v>
      </c>
      <c r="H389" s="10" t="s">
        <v>1487</v>
      </c>
      <c r="I389" s="11" t="s">
        <v>1488</v>
      </c>
      <c r="J389" s="10" t="s">
        <v>1498</v>
      </c>
      <c r="K389" s="11" t="s">
        <v>1499</v>
      </c>
      <c r="L389" s="18" t="str">
        <f t="shared" si="12"/>
        <v/>
      </c>
      <c r="M389" s="15" t="str">
        <f t="shared" si="13"/>
        <v>3</v>
      </c>
    </row>
    <row r="390" spans="1:13" ht="56.25" customHeight="1" x14ac:dyDescent="0.3">
      <c r="A390" s="7">
        <v>388</v>
      </c>
      <c r="B390" s="7" t="s">
        <v>1449</v>
      </c>
      <c r="C390" s="7" t="s">
        <v>1500</v>
      </c>
      <c r="D390" s="8">
        <v>0.71</v>
      </c>
      <c r="H390" s="10" t="s">
        <v>1487</v>
      </c>
      <c r="I390" s="11" t="s">
        <v>1488</v>
      </c>
      <c r="J390" s="10" t="s">
        <v>1501</v>
      </c>
      <c r="K390" s="11" t="s">
        <v>1502</v>
      </c>
      <c r="L390" s="18" t="str">
        <f t="shared" si="12"/>
        <v/>
      </c>
      <c r="M390" s="15" t="str">
        <f t="shared" si="13"/>
        <v>3</v>
      </c>
    </row>
    <row r="391" spans="1:13" ht="56.25" customHeight="1" x14ac:dyDescent="0.3">
      <c r="A391" s="5">
        <v>389</v>
      </c>
      <c r="B391" s="5" t="s">
        <v>1407</v>
      </c>
      <c r="C391" s="5" t="s">
        <v>1503</v>
      </c>
      <c r="D391" s="6">
        <v>0.71</v>
      </c>
      <c r="H391" s="10" t="s">
        <v>1504</v>
      </c>
      <c r="I391" s="11" t="s">
        <v>1505</v>
      </c>
      <c r="J391" s="10" t="s">
        <v>1506</v>
      </c>
      <c r="K391" s="11" t="s">
        <v>1507</v>
      </c>
      <c r="L391" s="18">
        <f t="shared" si="12"/>
        <v>0.9</v>
      </c>
      <c r="M391" s="15" t="str">
        <f t="shared" si="13"/>
        <v>3</v>
      </c>
    </row>
    <row r="392" spans="1:13" ht="56.25" customHeight="1" x14ac:dyDescent="0.3">
      <c r="A392" s="7">
        <v>390</v>
      </c>
      <c r="B392" s="7" t="s">
        <v>1508</v>
      </c>
      <c r="C392" s="7" t="s">
        <v>1509</v>
      </c>
      <c r="D392" s="8">
        <v>0.71</v>
      </c>
      <c r="H392" s="10" t="s">
        <v>1504</v>
      </c>
      <c r="I392" s="11" t="s">
        <v>1505</v>
      </c>
      <c r="J392" s="10" t="s">
        <v>1133</v>
      </c>
      <c r="K392" s="11" t="s">
        <v>1510</v>
      </c>
      <c r="L392" s="18">
        <f t="shared" si="12"/>
        <v>0.47</v>
      </c>
      <c r="M392" s="15" t="str">
        <f t="shared" si="13"/>
        <v>3</v>
      </c>
    </row>
    <row r="393" spans="1:13" ht="56.25" customHeight="1" x14ac:dyDescent="0.3">
      <c r="A393" s="5">
        <v>391</v>
      </c>
      <c r="B393" s="5" t="s">
        <v>1511</v>
      </c>
      <c r="C393" s="5" t="s">
        <v>1512</v>
      </c>
      <c r="D393" s="6">
        <v>0.71</v>
      </c>
      <c r="H393" s="10" t="s">
        <v>1513</v>
      </c>
      <c r="I393" s="11" t="s">
        <v>1514</v>
      </c>
      <c r="J393" s="10" t="s">
        <v>1515</v>
      </c>
      <c r="K393" s="11" t="s">
        <v>1516</v>
      </c>
      <c r="L393" s="18">
        <f t="shared" si="12"/>
        <v>0.92</v>
      </c>
      <c r="M393" s="15" t="str">
        <f t="shared" si="13"/>
        <v>3</v>
      </c>
    </row>
    <row r="394" spans="1:13" ht="56.25" customHeight="1" x14ac:dyDescent="0.3">
      <c r="A394" s="7">
        <v>392</v>
      </c>
      <c r="B394" s="7" t="s">
        <v>1517</v>
      </c>
      <c r="C394" s="7" t="s">
        <v>1518</v>
      </c>
      <c r="D394" s="8">
        <v>0.71</v>
      </c>
      <c r="H394" s="10" t="s">
        <v>1519</v>
      </c>
      <c r="I394" s="11" t="s">
        <v>1520</v>
      </c>
      <c r="J394" s="10" t="s">
        <v>31</v>
      </c>
      <c r="K394" s="11" t="s">
        <v>1521</v>
      </c>
      <c r="L394" s="18">
        <f t="shared" si="12"/>
        <v>3.5000000000000001E-3</v>
      </c>
      <c r="M394" s="15" t="str">
        <f t="shared" si="13"/>
        <v>3</v>
      </c>
    </row>
    <row r="395" spans="1:13" ht="56.25" customHeight="1" x14ac:dyDescent="0.3">
      <c r="A395" s="5">
        <v>393</v>
      </c>
      <c r="B395" s="5" t="s">
        <v>1522</v>
      </c>
      <c r="C395" s="5" t="s">
        <v>1523</v>
      </c>
      <c r="D395" s="6">
        <v>0.72</v>
      </c>
      <c r="H395" s="10" t="s">
        <v>1519</v>
      </c>
      <c r="I395" s="11" t="s">
        <v>1520</v>
      </c>
      <c r="J395" s="10" t="s">
        <v>1524</v>
      </c>
      <c r="K395" s="11" t="s">
        <v>1525</v>
      </c>
      <c r="L395" s="18" t="str">
        <f t="shared" si="12"/>
        <v/>
      </c>
      <c r="M395" s="15" t="str">
        <f t="shared" si="13"/>
        <v>3</v>
      </c>
    </row>
    <row r="396" spans="1:13" ht="56.25" customHeight="1" x14ac:dyDescent="0.3">
      <c r="A396" s="7">
        <v>394</v>
      </c>
      <c r="B396" s="7" t="s">
        <v>1526</v>
      </c>
      <c r="C396" s="7" t="s">
        <v>1527</v>
      </c>
      <c r="D396" s="8">
        <v>0.72</v>
      </c>
      <c r="H396" s="10" t="s">
        <v>1519</v>
      </c>
      <c r="I396" s="11" t="s">
        <v>1520</v>
      </c>
      <c r="J396" s="10" t="s">
        <v>1528</v>
      </c>
      <c r="K396" s="11" t="s">
        <v>1529</v>
      </c>
      <c r="L396" s="18">
        <f t="shared" si="12"/>
        <v>0.97</v>
      </c>
      <c r="M396" s="15" t="str">
        <f t="shared" si="13"/>
        <v>3</v>
      </c>
    </row>
    <row r="397" spans="1:13" ht="56.25" customHeight="1" x14ac:dyDescent="0.3">
      <c r="A397" s="5">
        <v>395</v>
      </c>
      <c r="B397" s="5" t="s">
        <v>1530</v>
      </c>
      <c r="C397" s="5" t="s">
        <v>1531</v>
      </c>
      <c r="D397" s="6">
        <v>0.72</v>
      </c>
      <c r="H397" s="10" t="s">
        <v>1519</v>
      </c>
      <c r="I397" s="11" t="s">
        <v>1520</v>
      </c>
      <c r="J397" s="10" t="s">
        <v>1120</v>
      </c>
      <c r="K397" s="11" t="s">
        <v>1532</v>
      </c>
      <c r="L397" s="18">
        <f t="shared" si="12"/>
        <v>0.45</v>
      </c>
      <c r="M397" s="15" t="str">
        <f t="shared" si="13"/>
        <v>3</v>
      </c>
    </row>
    <row r="398" spans="1:13" ht="56.25" customHeight="1" x14ac:dyDescent="0.3">
      <c r="A398" s="7">
        <v>396</v>
      </c>
      <c r="B398" s="7" t="s">
        <v>1533</v>
      </c>
      <c r="C398" s="7" t="s">
        <v>1534</v>
      </c>
      <c r="D398" s="8">
        <v>0.72</v>
      </c>
      <c r="H398" s="10" t="s">
        <v>1535</v>
      </c>
      <c r="I398" s="11" t="s">
        <v>1536</v>
      </c>
      <c r="J398" s="10" t="s">
        <v>591</v>
      </c>
      <c r="K398" s="11" t="s">
        <v>1537</v>
      </c>
      <c r="L398" s="18">
        <f t="shared" si="12"/>
        <v>5.8000000000000003E-2</v>
      </c>
      <c r="M398" s="15" t="str">
        <f t="shared" si="13"/>
        <v>3</v>
      </c>
    </row>
    <row r="399" spans="1:13" ht="56.25" customHeight="1" x14ac:dyDescent="0.3">
      <c r="A399" s="5">
        <v>397</v>
      </c>
      <c r="B399" s="5" t="s">
        <v>1538</v>
      </c>
      <c r="C399" s="5" t="s">
        <v>1539</v>
      </c>
      <c r="D399" s="6">
        <v>0.72</v>
      </c>
      <c r="H399" s="11" t="s">
        <v>1540</v>
      </c>
      <c r="I399" s="11" t="s">
        <v>1541</v>
      </c>
      <c r="J399" s="11" t="s">
        <v>1542</v>
      </c>
      <c r="K399" s="11" t="s">
        <v>1543</v>
      </c>
      <c r="L399" s="18" t="str">
        <f t="shared" si="12"/>
        <v/>
      </c>
      <c r="M399" s="15" t="str">
        <f t="shared" si="13"/>
        <v>3</v>
      </c>
    </row>
    <row r="400" spans="1:13" ht="56.25" customHeight="1" x14ac:dyDescent="0.3">
      <c r="A400" s="7">
        <v>398</v>
      </c>
      <c r="B400" s="7" t="s">
        <v>1544</v>
      </c>
      <c r="C400" s="7" t="s">
        <v>1545</v>
      </c>
      <c r="D400" s="8">
        <v>0.72</v>
      </c>
      <c r="H400" s="10" t="s">
        <v>1546</v>
      </c>
      <c r="I400" s="11" t="s">
        <v>1547</v>
      </c>
      <c r="J400" s="10" t="s">
        <v>1542</v>
      </c>
      <c r="K400" s="11" t="s">
        <v>1543</v>
      </c>
      <c r="L400" s="18" t="str">
        <f t="shared" si="12"/>
        <v/>
      </c>
      <c r="M400" s="15" t="str">
        <f t="shared" si="13"/>
        <v>3</v>
      </c>
    </row>
    <row r="401" spans="1:13" ht="56.25" customHeight="1" x14ac:dyDescent="0.3">
      <c r="A401" s="5">
        <v>399</v>
      </c>
      <c r="B401" s="5" t="s">
        <v>1229</v>
      </c>
      <c r="C401" s="5" t="s">
        <v>1548</v>
      </c>
      <c r="D401" s="6">
        <v>0.72</v>
      </c>
      <c r="H401" s="10" t="s">
        <v>1549</v>
      </c>
      <c r="I401" s="11" t="s">
        <v>1550</v>
      </c>
      <c r="J401" s="10" t="s">
        <v>443</v>
      </c>
      <c r="K401" s="11" t="s">
        <v>1551</v>
      </c>
      <c r="L401" s="18">
        <f t="shared" si="12"/>
        <v>2.9000000000000001E-2</v>
      </c>
      <c r="M401" s="15" t="str">
        <f t="shared" si="13"/>
        <v>3</v>
      </c>
    </row>
    <row r="402" spans="1:13" ht="56.25" customHeight="1" x14ac:dyDescent="0.3">
      <c r="A402" s="7">
        <v>400</v>
      </c>
      <c r="B402" s="7" t="s">
        <v>1552</v>
      </c>
      <c r="C402" s="7" t="s">
        <v>1553</v>
      </c>
      <c r="D402" s="8">
        <v>0.73</v>
      </c>
      <c r="H402" s="10" t="s">
        <v>1549</v>
      </c>
      <c r="I402" s="11" t="s">
        <v>1550</v>
      </c>
      <c r="J402" s="10" t="s">
        <v>1554</v>
      </c>
      <c r="K402" s="11" t="s">
        <v>1555</v>
      </c>
      <c r="L402" s="18">
        <f t="shared" si="12"/>
        <v>0.86</v>
      </c>
      <c r="M402" s="15" t="str">
        <f t="shared" si="13"/>
        <v>3</v>
      </c>
    </row>
    <row r="403" spans="1:13" ht="56.25" customHeight="1" x14ac:dyDescent="0.3">
      <c r="A403" s="5">
        <v>401</v>
      </c>
      <c r="B403" s="5" t="s">
        <v>161</v>
      </c>
      <c r="C403" s="5" t="s">
        <v>1556</v>
      </c>
      <c r="D403" s="6">
        <v>0.73</v>
      </c>
      <c r="H403" s="10" t="s">
        <v>1557</v>
      </c>
      <c r="I403" s="11" t="s">
        <v>1558</v>
      </c>
      <c r="J403" s="10" t="s">
        <v>1469</v>
      </c>
      <c r="K403" s="11" t="s">
        <v>1559</v>
      </c>
      <c r="L403" s="18">
        <f t="shared" si="12"/>
        <v>0.68</v>
      </c>
      <c r="M403" s="15" t="str">
        <f t="shared" si="13"/>
        <v>3</v>
      </c>
    </row>
    <row r="404" spans="1:13" ht="56.25" customHeight="1" x14ac:dyDescent="0.3">
      <c r="A404" s="7">
        <v>402</v>
      </c>
      <c r="B404" s="7" t="s">
        <v>1560</v>
      </c>
      <c r="C404" s="7" t="s">
        <v>1561</v>
      </c>
      <c r="D404" s="8">
        <v>0.73</v>
      </c>
      <c r="H404" s="10" t="s">
        <v>1557</v>
      </c>
      <c r="I404" s="10" t="s">
        <v>1558</v>
      </c>
      <c r="J404" s="11" t="s">
        <v>1183</v>
      </c>
      <c r="K404" s="11" t="s">
        <v>1562</v>
      </c>
      <c r="L404" s="18">
        <f t="shared" si="12"/>
        <v>0.51</v>
      </c>
      <c r="M404" s="15" t="str">
        <f t="shared" si="13"/>
        <v>3</v>
      </c>
    </row>
    <row r="405" spans="1:13" ht="56.25" customHeight="1" x14ac:dyDescent="0.3">
      <c r="A405" s="5">
        <v>403</v>
      </c>
      <c r="B405" s="5" t="s">
        <v>1563</v>
      </c>
      <c r="C405" s="5" t="s">
        <v>1564</v>
      </c>
      <c r="D405" s="6">
        <v>0.73</v>
      </c>
      <c r="H405" s="10" t="s">
        <v>1565</v>
      </c>
      <c r="I405" s="11" t="s">
        <v>1566</v>
      </c>
      <c r="J405" s="10" t="s">
        <v>1567</v>
      </c>
      <c r="K405" s="11" t="s">
        <v>1568</v>
      </c>
      <c r="L405" s="18">
        <f t="shared" si="12"/>
        <v>0.91</v>
      </c>
      <c r="M405" s="15" t="str">
        <f t="shared" si="13"/>
        <v>3</v>
      </c>
    </row>
    <row r="406" spans="1:13" ht="56.25" customHeight="1" x14ac:dyDescent="0.3">
      <c r="A406" s="7">
        <v>404</v>
      </c>
      <c r="B406" s="7" t="s">
        <v>1569</v>
      </c>
      <c r="C406" s="7" t="s">
        <v>1570</v>
      </c>
      <c r="D406" s="8">
        <v>0.73</v>
      </c>
      <c r="H406" s="10" t="s">
        <v>1571</v>
      </c>
      <c r="I406" s="11" t="s">
        <v>1572</v>
      </c>
      <c r="J406" s="10" t="s">
        <v>1573</v>
      </c>
      <c r="K406" s="11" t="s">
        <v>1574</v>
      </c>
      <c r="L406" s="18" t="str">
        <f t="shared" si="12"/>
        <v/>
      </c>
      <c r="M406" s="15" t="str">
        <f t="shared" si="13"/>
        <v>3</v>
      </c>
    </row>
    <row r="407" spans="1:13" ht="56.25" customHeight="1" x14ac:dyDescent="0.3">
      <c r="A407" s="5">
        <v>405</v>
      </c>
      <c r="B407" s="5" t="s">
        <v>1575</v>
      </c>
      <c r="C407" s="5" t="s">
        <v>1576</v>
      </c>
      <c r="D407" s="6">
        <v>0.74</v>
      </c>
      <c r="H407" s="10" t="s">
        <v>1577</v>
      </c>
      <c r="I407" s="11" t="s">
        <v>1578</v>
      </c>
      <c r="J407" s="10" t="s">
        <v>1511</v>
      </c>
      <c r="K407" s="11" t="s">
        <v>1579</v>
      </c>
      <c r="L407" s="18">
        <f t="shared" si="12"/>
        <v>0.71</v>
      </c>
      <c r="M407" s="15" t="str">
        <f t="shared" si="13"/>
        <v>3</v>
      </c>
    </row>
    <row r="408" spans="1:13" ht="56.25" customHeight="1" x14ac:dyDescent="0.3">
      <c r="A408" s="7">
        <v>406</v>
      </c>
      <c r="B408" s="7" t="s">
        <v>1580</v>
      </c>
      <c r="C408" s="7" t="s">
        <v>1581</v>
      </c>
      <c r="D408" s="8">
        <v>0.74</v>
      </c>
      <c r="H408" s="10" t="s">
        <v>1582</v>
      </c>
      <c r="I408" s="11" t="s">
        <v>1583</v>
      </c>
      <c r="J408" s="10" t="s">
        <v>365</v>
      </c>
      <c r="K408" s="11" t="s">
        <v>601</v>
      </c>
      <c r="L408" s="18">
        <f t="shared" si="12"/>
        <v>0.02</v>
      </c>
      <c r="M408" s="15" t="str">
        <f t="shared" si="13"/>
        <v>3</v>
      </c>
    </row>
    <row r="409" spans="1:13" ht="56.25" customHeight="1" x14ac:dyDescent="0.3">
      <c r="A409" s="5">
        <v>407</v>
      </c>
      <c r="B409" s="5" t="s">
        <v>1584</v>
      </c>
      <c r="C409" s="5" t="s">
        <v>1585</v>
      </c>
      <c r="D409" s="6">
        <v>0.74</v>
      </c>
      <c r="H409" s="10" t="s">
        <v>1582</v>
      </c>
      <c r="I409" s="11" t="s">
        <v>1583</v>
      </c>
      <c r="J409" s="10" t="s">
        <v>357</v>
      </c>
      <c r="K409" s="11" t="s">
        <v>1586</v>
      </c>
      <c r="L409" s="18">
        <f t="shared" si="12"/>
        <v>1.7999999999999999E-2</v>
      </c>
      <c r="M409" s="15" t="str">
        <f t="shared" si="13"/>
        <v>3</v>
      </c>
    </row>
    <row r="410" spans="1:13" ht="56.25" customHeight="1" x14ac:dyDescent="0.3">
      <c r="A410" s="7">
        <v>408</v>
      </c>
      <c r="B410" s="7" t="s">
        <v>1587</v>
      </c>
      <c r="C410" s="7" t="s">
        <v>1588</v>
      </c>
      <c r="D410" s="8">
        <v>0.74</v>
      </c>
      <c r="H410" s="10" t="s">
        <v>1582</v>
      </c>
      <c r="I410" s="11" t="s">
        <v>1583</v>
      </c>
      <c r="J410" s="10" t="s">
        <v>1213</v>
      </c>
      <c r="K410" s="11" t="s">
        <v>1589</v>
      </c>
      <c r="L410" s="18">
        <f t="shared" si="12"/>
        <v>0.54</v>
      </c>
      <c r="M410" s="15" t="str">
        <f t="shared" si="13"/>
        <v>3</v>
      </c>
    </row>
    <row r="411" spans="1:13" ht="56.25" customHeight="1" x14ac:dyDescent="0.3">
      <c r="A411" s="5">
        <v>409</v>
      </c>
      <c r="B411" s="5" t="s">
        <v>173</v>
      </c>
      <c r="C411" s="5" t="s">
        <v>1590</v>
      </c>
      <c r="D411" s="6">
        <v>0.75</v>
      </c>
      <c r="H411" s="10" t="s">
        <v>1591</v>
      </c>
      <c r="I411" s="11" t="s">
        <v>941</v>
      </c>
      <c r="J411" s="10" t="s">
        <v>1592</v>
      </c>
      <c r="K411" s="11" t="s">
        <v>1593</v>
      </c>
      <c r="L411" s="18" t="str">
        <f t="shared" si="12"/>
        <v/>
      </c>
      <c r="M411" s="15" t="str">
        <f t="shared" si="13"/>
        <v>3</v>
      </c>
    </row>
    <row r="412" spans="1:13" ht="56.25" customHeight="1" x14ac:dyDescent="0.3">
      <c r="A412" s="7">
        <v>410</v>
      </c>
      <c r="B412" s="7" t="s">
        <v>1594</v>
      </c>
      <c r="C412" s="7" t="s">
        <v>1595</v>
      </c>
      <c r="D412" s="8">
        <v>0.75</v>
      </c>
      <c r="H412" s="10" t="s">
        <v>1591</v>
      </c>
      <c r="I412" s="11" t="s">
        <v>941</v>
      </c>
      <c r="J412" s="10" t="s">
        <v>940</v>
      </c>
      <c r="K412" s="11" t="s">
        <v>1596</v>
      </c>
      <c r="L412" s="18">
        <f t="shared" si="12"/>
        <v>0.3</v>
      </c>
      <c r="M412" s="15" t="str">
        <f t="shared" si="13"/>
        <v>3</v>
      </c>
    </row>
    <row r="413" spans="1:13" ht="56.25" customHeight="1" x14ac:dyDescent="0.3">
      <c r="A413" s="5">
        <v>411</v>
      </c>
      <c r="B413" s="5" t="s">
        <v>1597</v>
      </c>
      <c r="C413" s="5" t="s">
        <v>1598</v>
      </c>
      <c r="D413" s="6">
        <v>0.75</v>
      </c>
      <c r="H413" s="10" t="s">
        <v>1599</v>
      </c>
      <c r="I413" s="11" t="s">
        <v>1600</v>
      </c>
      <c r="J413" s="10" t="s">
        <v>879</v>
      </c>
      <c r="K413" s="11" t="s">
        <v>1601</v>
      </c>
      <c r="L413" s="18">
        <f t="shared" si="12"/>
        <v>0.25</v>
      </c>
      <c r="M413" s="15" t="str">
        <f t="shared" si="13"/>
        <v>3</v>
      </c>
    </row>
    <row r="414" spans="1:13" ht="56.25" customHeight="1" x14ac:dyDescent="0.3">
      <c r="A414" s="7">
        <v>412</v>
      </c>
      <c r="B414" s="7" t="s">
        <v>1602</v>
      </c>
      <c r="C414" s="7" t="s">
        <v>1603</v>
      </c>
      <c r="D414" s="8">
        <v>0.75</v>
      </c>
      <c r="H414" s="10" t="s">
        <v>1599</v>
      </c>
      <c r="I414" s="11" t="s">
        <v>1600</v>
      </c>
      <c r="J414" s="10" t="s">
        <v>1604</v>
      </c>
      <c r="K414" s="11" t="s">
        <v>1605</v>
      </c>
      <c r="L414" s="18">
        <f t="shared" si="12"/>
        <v>0.94</v>
      </c>
      <c r="M414" s="15" t="str">
        <f t="shared" si="13"/>
        <v>3</v>
      </c>
    </row>
    <row r="415" spans="1:13" ht="56.25" customHeight="1" x14ac:dyDescent="0.3">
      <c r="A415" s="5">
        <v>413</v>
      </c>
      <c r="B415" s="5" t="s">
        <v>1257</v>
      </c>
      <c r="C415" s="5" t="s">
        <v>1256</v>
      </c>
      <c r="D415" s="6">
        <v>0.75</v>
      </c>
      <c r="H415" s="11" t="s">
        <v>1599</v>
      </c>
      <c r="I415" s="11" t="s">
        <v>1600</v>
      </c>
      <c r="J415" s="11" t="s">
        <v>439</v>
      </c>
      <c r="K415" s="11" t="s">
        <v>1455</v>
      </c>
      <c r="L415" s="18">
        <f t="shared" si="12"/>
        <v>2.9000000000000001E-2</v>
      </c>
      <c r="M415" s="15" t="str">
        <f t="shared" si="13"/>
        <v>3</v>
      </c>
    </row>
    <row r="416" spans="1:13" ht="56.25" customHeight="1" x14ac:dyDescent="0.3">
      <c r="A416" s="7">
        <v>414</v>
      </c>
      <c r="B416" s="7" t="s">
        <v>1606</v>
      </c>
      <c r="C416" s="7" t="s">
        <v>1607</v>
      </c>
      <c r="D416" s="8">
        <v>0.75</v>
      </c>
      <c r="H416" s="10" t="s">
        <v>1599</v>
      </c>
      <c r="I416" s="11" t="s">
        <v>1600</v>
      </c>
      <c r="J416" s="10" t="s">
        <v>1608</v>
      </c>
      <c r="K416" s="11" t="s">
        <v>1609</v>
      </c>
      <c r="L416" s="18">
        <f t="shared" si="12"/>
        <v>0.9</v>
      </c>
      <c r="M416" s="15" t="str">
        <f t="shared" si="13"/>
        <v>3</v>
      </c>
    </row>
    <row r="417" spans="1:13" ht="56.25" customHeight="1" x14ac:dyDescent="0.3">
      <c r="A417" s="5">
        <v>415</v>
      </c>
      <c r="B417" s="5" t="s">
        <v>1076</v>
      </c>
      <c r="C417" s="5" t="s">
        <v>1077</v>
      </c>
      <c r="D417" s="6">
        <v>0.76</v>
      </c>
      <c r="H417" s="10" t="s">
        <v>1610</v>
      </c>
      <c r="I417" s="11" t="s">
        <v>1611</v>
      </c>
      <c r="J417" s="10" t="s">
        <v>571</v>
      </c>
      <c r="K417" s="11" t="s">
        <v>1612</v>
      </c>
      <c r="L417" s="18">
        <f t="shared" si="12"/>
        <v>4.9000000000000002E-2</v>
      </c>
      <c r="M417" s="15" t="str">
        <f t="shared" si="13"/>
        <v>3</v>
      </c>
    </row>
    <row r="418" spans="1:13" ht="56.25" customHeight="1" x14ac:dyDescent="0.3">
      <c r="A418" s="7">
        <v>416</v>
      </c>
      <c r="B418" s="7" t="s">
        <v>1613</v>
      </c>
      <c r="C418" s="7" t="s">
        <v>1614</v>
      </c>
      <c r="D418" s="8">
        <v>0.76</v>
      </c>
      <c r="H418" s="10" t="s">
        <v>1615</v>
      </c>
      <c r="I418" s="11" t="s">
        <v>1616</v>
      </c>
      <c r="J418" s="10" t="s">
        <v>618</v>
      </c>
      <c r="K418" s="11" t="s">
        <v>1617</v>
      </c>
      <c r="L418" s="18">
        <f t="shared" si="12"/>
        <v>6.6000000000000003E-2</v>
      </c>
      <c r="M418" s="15" t="str">
        <f t="shared" si="13"/>
        <v>3</v>
      </c>
    </row>
    <row r="419" spans="1:13" ht="56.25" customHeight="1" x14ac:dyDescent="0.3">
      <c r="A419" s="5">
        <v>417</v>
      </c>
      <c r="B419" s="5" t="s">
        <v>1618</v>
      </c>
      <c r="C419" s="5" t="s">
        <v>1619</v>
      </c>
      <c r="D419" s="6">
        <v>0.76</v>
      </c>
      <c r="H419" s="10" t="s">
        <v>1615</v>
      </c>
      <c r="I419" s="11" t="s">
        <v>1616</v>
      </c>
      <c r="J419" s="10" t="s">
        <v>863</v>
      </c>
      <c r="K419" s="11" t="s">
        <v>1620</v>
      </c>
      <c r="L419" s="18">
        <f t="shared" si="12"/>
        <v>0.23</v>
      </c>
      <c r="M419" s="15" t="str">
        <f t="shared" si="13"/>
        <v>3</v>
      </c>
    </row>
    <row r="420" spans="1:13" ht="56.25" customHeight="1" x14ac:dyDescent="0.3">
      <c r="A420" s="7">
        <v>418</v>
      </c>
      <c r="B420" s="7" t="s">
        <v>1621</v>
      </c>
      <c r="C420" s="7" t="s">
        <v>1622</v>
      </c>
      <c r="D420" s="8">
        <v>0.76</v>
      </c>
      <c r="H420" s="10" t="s">
        <v>1615</v>
      </c>
      <c r="I420" s="11" t="s">
        <v>1616</v>
      </c>
      <c r="J420" s="10" t="s">
        <v>731</v>
      </c>
      <c r="K420" s="11" t="s">
        <v>1623</v>
      </c>
      <c r="L420" s="18">
        <f t="shared" si="12"/>
        <v>0.13</v>
      </c>
      <c r="M420" s="15" t="str">
        <f t="shared" si="13"/>
        <v>3</v>
      </c>
    </row>
    <row r="421" spans="1:13" ht="56.25" customHeight="1" x14ac:dyDescent="0.3">
      <c r="A421" s="5">
        <v>419</v>
      </c>
      <c r="B421" s="5" t="s">
        <v>1433</v>
      </c>
      <c r="C421" s="5" t="s">
        <v>1624</v>
      </c>
      <c r="D421" s="6">
        <v>0.77</v>
      </c>
      <c r="H421" s="10" t="s">
        <v>1615</v>
      </c>
      <c r="I421" s="11" t="s">
        <v>1616</v>
      </c>
      <c r="J421" s="10" t="s">
        <v>544</v>
      </c>
      <c r="K421" s="11" t="s">
        <v>1625</v>
      </c>
      <c r="L421" s="18">
        <f t="shared" si="12"/>
        <v>4.2999999999999997E-2</v>
      </c>
      <c r="M421" s="15" t="str">
        <f t="shared" si="13"/>
        <v>3</v>
      </c>
    </row>
    <row r="422" spans="1:13" ht="56.25" customHeight="1" x14ac:dyDescent="0.3">
      <c r="A422" s="7">
        <v>420</v>
      </c>
      <c r="B422" s="7" t="s">
        <v>1626</v>
      </c>
      <c r="C422" s="7" t="s">
        <v>1627</v>
      </c>
      <c r="D422" s="8">
        <v>0.77</v>
      </c>
      <c r="H422" s="10" t="s">
        <v>1615</v>
      </c>
      <c r="I422" s="11" t="s">
        <v>1616</v>
      </c>
      <c r="J422" s="10" t="s">
        <v>697</v>
      </c>
      <c r="K422" s="11" t="s">
        <v>1628</v>
      </c>
      <c r="L422" s="18">
        <f t="shared" si="12"/>
        <v>0.1</v>
      </c>
      <c r="M422" s="15" t="str">
        <f t="shared" si="13"/>
        <v>3</v>
      </c>
    </row>
    <row r="423" spans="1:13" ht="56.25" customHeight="1" x14ac:dyDescent="0.3">
      <c r="A423" s="5">
        <v>421</v>
      </c>
      <c r="B423" s="5" t="s">
        <v>1629</v>
      </c>
      <c r="C423" s="5" t="s">
        <v>1630</v>
      </c>
      <c r="D423" s="6">
        <v>0.77</v>
      </c>
      <c r="H423" s="10" t="s">
        <v>1615</v>
      </c>
      <c r="I423" s="11" t="s">
        <v>1616</v>
      </c>
      <c r="J423" s="10" t="s">
        <v>973</v>
      </c>
      <c r="K423" s="11" t="s">
        <v>1631</v>
      </c>
      <c r="L423" s="18">
        <f t="shared" si="12"/>
        <v>0.34</v>
      </c>
      <c r="M423" s="15" t="str">
        <f t="shared" si="13"/>
        <v>3</v>
      </c>
    </row>
    <row r="424" spans="1:13" ht="56.25" customHeight="1" x14ac:dyDescent="0.3">
      <c r="A424" s="7">
        <v>422</v>
      </c>
      <c r="B424" s="7" t="s">
        <v>1632</v>
      </c>
      <c r="C424" s="7" t="s">
        <v>1633</v>
      </c>
      <c r="D424" s="8">
        <v>0.77</v>
      </c>
      <c r="H424" s="10" t="s">
        <v>1615</v>
      </c>
      <c r="I424" s="11" t="s">
        <v>1616</v>
      </c>
      <c r="J424" s="10" t="s">
        <v>1634</v>
      </c>
      <c r="K424" s="11" t="s">
        <v>1635</v>
      </c>
      <c r="L424" s="18" t="str">
        <f t="shared" si="12"/>
        <v/>
      </c>
      <c r="M424" s="15" t="str">
        <f t="shared" si="13"/>
        <v>3</v>
      </c>
    </row>
    <row r="425" spans="1:13" ht="56.25" customHeight="1" x14ac:dyDescent="0.3">
      <c r="A425" s="5">
        <v>423</v>
      </c>
      <c r="B425" s="5" t="s">
        <v>1636</v>
      </c>
      <c r="C425" s="5" t="s">
        <v>1637</v>
      </c>
      <c r="D425" s="6">
        <v>0.77</v>
      </c>
      <c r="H425" s="10" t="s">
        <v>1615</v>
      </c>
      <c r="I425" s="11" t="s">
        <v>1616</v>
      </c>
      <c r="J425" s="10" t="s">
        <v>1542</v>
      </c>
      <c r="K425" s="11" t="s">
        <v>1543</v>
      </c>
      <c r="L425" s="18" t="str">
        <f t="shared" si="12"/>
        <v/>
      </c>
      <c r="M425" s="15" t="str">
        <f t="shared" si="13"/>
        <v>3</v>
      </c>
    </row>
    <row r="426" spans="1:13" ht="56.25" customHeight="1" x14ac:dyDescent="0.3">
      <c r="A426" s="7">
        <v>424</v>
      </c>
      <c r="B426" s="7" t="s">
        <v>1638</v>
      </c>
      <c r="C426" s="7" t="s">
        <v>1639</v>
      </c>
      <c r="D426" s="8">
        <v>0.77</v>
      </c>
      <c r="H426" s="10" t="s">
        <v>1615</v>
      </c>
      <c r="I426" s="11" t="s">
        <v>1616</v>
      </c>
      <c r="J426" s="10" t="s">
        <v>422</v>
      </c>
      <c r="K426" s="11" t="s">
        <v>1640</v>
      </c>
      <c r="L426" s="18">
        <f t="shared" si="12"/>
        <v>2.8000000000000001E-2</v>
      </c>
      <c r="M426" s="15" t="str">
        <f t="shared" si="13"/>
        <v>3</v>
      </c>
    </row>
    <row r="427" spans="1:13" ht="56.25" customHeight="1" x14ac:dyDescent="0.3">
      <c r="A427" s="5">
        <v>425</v>
      </c>
      <c r="B427" s="5" t="s">
        <v>1641</v>
      </c>
      <c r="C427" s="5" t="s">
        <v>1642</v>
      </c>
      <c r="D427" s="6">
        <v>0.77</v>
      </c>
      <c r="H427" s="10" t="s">
        <v>1615</v>
      </c>
      <c r="I427" s="11" t="s">
        <v>1616</v>
      </c>
      <c r="J427" s="10" t="s">
        <v>1643</v>
      </c>
      <c r="K427" s="11" t="s">
        <v>1644</v>
      </c>
      <c r="L427" s="18" t="str">
        <f t="shared" si="12"/>
        <v/>
      </c>
      <c r="M427" s="15" t="str">
        <f t="shared" si="13"/>
        <v>3</v>
      </c>
    </row>
    <row r="428" spans="1:13" ht="56.25" customHeight="1" x14ac:dyDescent="0.3">
      <c r="A428" s="7">
        <v>426</v>
      </c>
      <c r="B428" s="7" t="s">
        <v>1645</v>
      </c>
      <c r="C428" s="7" t="s">
        <v>1646</v>
      </c>
      <c r="D428" s="8">
        <v>0.78</v>
      </c>
      <c r="H428" s="11" t="s">
        <v>1647</v>
      </c>
      <c r="I428" s="11" t="s">
        <v>1648</v>
      </c>
      <c r="J428" s="11" t="s">
        <v>634</v>
      </c>
      <c r="K428" s="11" t="s">
        <v>985</v>
      </c>
      <c r="L428" s="18">
        <f t="shared" si="12"/>
        <v>7.4999999999999997E-2</v>
      </c>
      <c r="M428" s="15" t="str">
        <f t="shared" si="13"/>
        <v>3</v>
      </c>
    </row>
    <row r="429" spans="1:13" ht="56.25" customHeight="1" x14ac:dyDescent="0.3">
      <c r="A429" s="5">
        <v>427</v>
      </c>
      <c r="B429" s="5" t="s">
        <v>1649</v>
      </c>
      <c r="C429" s="5" t="s">
        <v>1650</v>
      </c>
      <c r="D429" s="6">
        <v>0.78</v>
      </c>
      <c r="H429" s="10" t="s">
        <v>1647</v>
      </c>
      <c r="I429" s="11" t="s">
        <v>1648</v>
      </c>
      <c r="J429" s="10" t="s">
        <v>315</v>
      </c>
      <c r="K429" s="11" t="s">
        <v>1651</v>
      </c>
      <c r="L429" s="18">
        <f t="shared" si="12"/>
        <v>1.6E-2</v>
      </c>
      <c r="M429" s="15" t="str">
        <f t="shared" si="13"/>
        <v>3</v>
      </c>
    </row>
    <row r="430" spans="1:13" ht="56.25" customHeight="1" x14ac:dyDescent="0.3">
      <c r="A430" s="7">
        <v>428</v>
      </c>
      <c r="B430" s="7" t="s">
        <v>1652</v>
      </c>
      <c r="C430" s="7" t="s">
        <v>1653</v>
      </c>
      <c r="D430" s="8">
        <v>0.78</v>
      </c>
      <c r="H430" s="10" t="s">
        <v>1654</v>
      </c>
      <c r="I430" s="11" t="s">
        <v>1655</v>
      </c>
      <c r="J430" s="10" t="s">
        <v>517</v>
      </c>
      <c r="K430" s="11" t="s">
        <v>1656</v>
      </c>
      <c r="L430" s="18">
        <f t="shared" si="12"/>
        <v>0.04</v>
      </c>
      <c r="M430" s="15" t="str">
        <f t="shared" si="13"/>
        <v>3</v>
      </c>
    </row>
    <row r="431" spans="1:13" ht="56.25" customHeight="1" x14ac:dyDescent="0.3">
      <c r="A431" s="5">
        <v>429</v>
      </c>
      <c r="B431" s="5" t="s">
        <v>1403</v>
      </c>
      <c r="C431" s="5" t="s">
        <v>1657</v>
      </c>
      <c r="D431" s="6">
        <v>0.78</v>
      </c>
      <c r="H431" s="10" t="s">
        <v>1654</v>
      </c>
      <c r="I431" s="11" t="s">
        <v>1655</v>
      </c>
      <c r="J431" s="10" t="s">
        <v>1658</v>
      </c>
      <c r="K431" s="11" t="s">
        <v>1659</v>
      </c>
      <c r="L431" s="18">
        <f t="shared" si="12"/>
        <v>0.98</v>
      </c>
      <c r="M431" s="15" t="str">
        <f t="shared" si="13"/>
        <v>3</v>
      </c>
    </row>
    <row r="432" spans="1:13" ht="56.25" customHeight="1" x14ac:dyDescent="0.3">
      <c r="A432" s="7">
        <v>430</v>
      </c>
      <c r="B432" s="7" t="s">
        <v>1660</v>
      </c>
      <c r="C432" s="7" t="s">
        <v>1661</v>
      </c>
      <c r="D432" s="8">
        <v>0.79</v>
      </c>
      <c r="H432" s="11" t="s">
        <v>1662</v>
      </c>
      <c r="I432" s="11" t="s">
        <v>1663</v>
      </c>
      <c r="J432" s="11" t="s">
        <v>1664</v>
      </c>
      <c r="K432" s="11" t="s">
        <v>1665</v>
      </c>
      <c r="L432" s="18">
        <f t="shared" si="12"/>
        <v>0.98</v>
      </c>
      <c r="M432" s="15" t="str">
        <f t="shared" si="13"/>
        <v>3</v>
      </c>
    </row>
    <row r="433" spans="1:13" ht="56.25" customHeight="1" x14ac:dyDescent="0.3">
      <c r="A433" s="5">
        <v>431</v>
      </c>
      <c r="B433" s="5" t="s">
        <v>1666</v>
      </c>
      <c r="C433" s="5" t="s">
        <v>1667</v>
      </c>
      <c r="D433" s="6">
        <v>0.79</v>
      </c>
      <c r="H433" s="10" t="s">
        <v>1668</v>
      </c>
      <c r="I433" s="11" t="s">
        <v>1669</v>
      </c>
      <c r="J433" s="10" t="s">
        <v>1670</v>
      </c>
      <c r="K433" s="11" t="s">
        <v>1671</v>
      </c>
      <c r="L433" s="18">
        <f t="shared" si="12"/>
        <v>0.99</v>
      </c>
      <c r="M433" s="15" t="str">
        <f t="shared" si="13"/>
        <v>3</v>
      </c>
    </row>
    <row r="434" spans="1:13" ht="56.25" customHeight="1" x14ac:dyDescent="0.3">
      <c r="A434" s="7">
        <v>432</v>
      </c>
      <c r="B434" s="7" t="s">
        <v>1672</v>
      </c>
      <c r="C434" s="7" t="s">
        <v>1673</v>
      </c>
      <c r="D434" s="8">
        <v>0.79</v>
      </c>
      <c r="H434" s="10" t="s">
        <v>1668</v>
      </c>
      <c r="I434" s="11" t="s">
        <v>1669</v>
      </c>
      <c r="J434" s="10" t="s">
        <v>1674</v>
      </c>
      <c r="K434" s="11" t="s">
        <v>1675</v>
      </c>
      <c r="L434" s="18" t="str">
        <f t="shared" si="12"/>
        <v/>
      </c>
      <c r="M434" s="15" t="str">
        <f t="shared" si="13"/>
        <v>3</v>
      </c>
    </row>
    <row r="435" spans="1:13" ht="56.25" customHeight="1" x14ac:dyDescent="0.3">
      <c r="A435" s="5">
        <v>433</v>
      </c>
      <c r="B435" s="5" t="s">
        <v>1676</v>
      </c>
      <c r="C435" s="5" t="s">
        <v>1677</v>
      </c>
      <c r="D435" s="6">
        <v>0.79</v>
      </c>
      <c r="H435" s="10" t="s">
        <v>1668</v>
      </c>
      <c r="I435" s="11" t="s">
        <v>1669</v>
      </c>
      <c r="J435" s="10" t="s">
        <v>1376</v>
      </c>
      <c r="K435" s="11" t="s">
        <v>1678</v>
      </c>
      <c r="L435" s="18">
        <f t="shared" si="12"/>
        <v>0.65</v>
      </c>
      <c r="M435" s="15" t="str">
        <f t="shared" si="13"/>
        <v>3</v>
      </c>
    </row>
    <row r="436" spans="1:13" ht="56.25" customHeight="1" x14ac:dyDescent="0.3">
      <c r="A436" s="7">
        <v>434</v>
      </c>
      <c r="B436" s="7" t="s">
        <v>1679</v>
      </c>
      <c r="C436" s="7" t="s">
        <v>1680</v>
      </c>
      <c r="D436" s="8">
        <v>0.79</v>
      </c>
      <c r="H436" s="10" t="s">
        <v>1668</v>
      </c>
      <c r="I436" s="11" t="s">
        <v>1669</v>
      </c>
      <c r="J436" s="10" t="s">
        <v>1413</v>
      </c>
      <c r="K436" s="11" t="s">
        <v>1681</v>
      </c>
      <c r="L436" s="18">
        <f t="shared" si="12"/>
        <v>0.66</v>
      </c>
      <c r="M436" s="15" t="str">
        <f t="shared" si="13"/>
        <v>3</v>
      </c>
    </row>
    <row r="437" spans="1:13" ht="56.25" customHeight="1" x14ac:dyDescent="0.3">
      <c r="A437" s="5">
        <v>435</v>
      </c>
      <c r="B437" s="5" t="s">
        <v>1682</v>
      </c>
      <c r="C437" s="5" t="s">
        <v>1683</v>
      </c>
      <c r="D437" s="6">
        <v>0.79</v>
      </c>
      <c r="H437" s="10" t="s">
        <v>1684</v>
      </c>
      <c r="I437" s="11" t="s">
        <v>1685</v>
      </c>
      <c r="J437" s="10" t="s">
        <v>1686</v>
      </c>
      <c r="K437" s="11" t="s">
        <v>1687</v>
      </c>
      <c r="L437" s="18">
        <f t="shared" si="12"/>
        <v>0.98</v>
      </c>
      <c r="M437" s="15" t="str">
        <f t="shared" si="13"/>
        <v>3</v>
      </c>
    </row>
    <row r="438" spans="1:13" ht="56.25" customHeight="1" x14ac:dyDescent="0.3">
      <c r="A438" s="7">
        <v>436</v>
      </c>
      <c r="B438" s="7" t="s">
        <v>1688</v>
      </c>
      <c r="C438" s="7" t="s">
        <v>1689</v>
      </c>
      <c r="D438" s="8">
        <v>0.79</v>
      </c>
      <c r="H438" s="10" t="s">
        <v>1684</v>
      </c>
      <c r="I438" s="11" t="s">
        <v>1685</v>
      </c>
      <c r="J438" s="10" t="s">
        <v>1690</v>
      </c>
      <c r="K438" s="11" t="s">
        <v>1691</v>
      </c>
      <c r="L438" s="18">
        <f t="shared" si="12"/>
        <v>0.98</v>
      </c>
      <c r="M438" s="15" t="str">
        <f t="shared" si="13"/>
        <v>3</v>
      </c>
    </row>
    <row r="439" spans="1:13" ht="56.25" customHeight="1" x14ac:dyDescent="0.3">
      <c r="A439" s="5">
        <v>437</v>
      </c>
      <c r="B439" s="5" t="s">
        <v>1692</v>
      </c>
      <c r="C439" s="5" t="s">
        <v>1693</v>
      </c>
      <c r="D439" s="6">
        <v>0.79</v>
      </c>
      <c r="H439" s="10" t="s">
        <v>1684</v>
      </c>
      <c r="I439" s="11" t="s">
        <v>1685</v>
      </c>
      <c r="J439" s="10" t="s">
        <v>1694</v>
      </c>
      <c r="K439" s="11" t="s">
        <v>1695</v>
      </c>
      <c r="L439" s="18">
        <f t="shared" si="12"/>
        <v>0.9</v>
      </c>
      <c r="M439" s="15" t="str">
        <f t="shared" si="13"/>
        <v>3</v>
      </c>
    </row>
    <row r="440" spans="1:13" ht="56.25" customHeight="1" x14ac:dyDescent="0.3">
      <c r="A440" s="7">
        <v>438</v>
      </c>
      <c r="B440" s="7" t="s">
        <v>1696</v>
      </c>
      <c r="C440" s="7" t="s">
        <v>1697</v>
      </c>
      <c r="D440" s="8">
        <v>0.79</v>
      </c>
      <c r="H440" s="10" t="s">
        <v>1698</v>
      </c>
      <c r="I440" s="11" t="s">
        <v>1699</v>
      </c>
      <c r="J440" s="10" t="s">
        <v>1700</v>
      </c>
      <c r="K440" s="11" t="s">
        <v>1701</v>
      </c>
      <c r="L440" s="18">
        <f t="shared" si="12"/>
        <v>0.99</v>
      </c>
      <c r="M440" s="15" t="str">
        <f t="shared" si="13"/>
        <v>3</v>
      </c>
    </row>
    <row r="441" spans="1:13" ht="56.25" customHeight="1" x14ac:dyDescent="0.3">
      <c r="A441" s="5">
        <v>439</v>
      </c>
      <c r="B441" s="5" t="s">
        <v>1702</v>
      </c>
      <c r="C441" s="5" t="s">
        <v>1703</v>
      </c>
      <c r="D441" s="6">
        <v>0.8</v>
      </c>
      <c r="H441" s="11" t="s">
        <v>1698</v>
      </c>
      <c r="I441" s="11" t="s">
        <v>1699</v>
      </c>
      <c r="J441" s="11" t="s">
        <v>634</v>
      </c>
      <c r="K441" s="11" t="s">
        <v>985</v>
      </c>
      <c r="L441" s="18">
        <f t="shared" si="12"/>
        <v>7.4999999999999997E-2</v>
      </c>
      <c r="M441" s="15" t="str">
        <f t="shared" si="13"/>
        <v>3</v>
      </c>
    </row>
    <row r="442" spans="1:13" ht="56.25" customHeight="1" x14ac:dyDescent="0.3">
      <c r="A442" s="7">
        <v>440</v>
      </c>
      <c r="B442" s="7" t="s">
        <v>1704</v>
      </c>
      <c r="C442" s="7" t="s">
        <v>1705</v>
      </c>
      <c r="D442" s="8">
        <v>0.8</v>
      </c>
      <c r="H442" s="10" t="s">
        <v>1698</v>
      </c>
      <c r="I442" s="11" t="s">
        <v>1699</v>
      </c>
      <c r="J442" s="10" t="s">
        <v>1706</v>
      </c>
      <c r="K442" s="11" t="s">
        <v>1707</v>
      </c>
      <c r="L442" s="18">
        <f t="shared" si="12"/>
        <v>0.92</v>
      </c>
      <c r="M442" s="15" t="str">
        <f t="shared" si="13"/>
        <v>3</v>
      </c>
    </row>
    <row r="443" spans="1:13" ht="56.25" customHeight="1" x14ac:dyDescent="0.3">
      <c r="A443" s="5">
        <v>441</v>
      </c>
      <c r="B443" s="5" t="s">
        <v>1708</v>
      </c>
      <c r="C443" s="5" t="s">
        <v>1709</v>
      </c>
      <c r="D443" s="6">
        <v>0.81</v>
      </c>
      <c r="H443" s="11" t="s">
        <v>1710</v>
      </c>
      <c r="I443" s="11" t="s">
        <v>1711</v>
      </c>
      <c r="J443" s="11" t="s">
        <v>634</v>
      </c>
      <c r="K443" s="11" t="s">
        <v>985</v>
      </c>
      <c r="L443" s="18">
        <f t="shared" si="12"/>
        <v>7.4999999999999997E-2</v>
      </c>
      <c r="M443" s="15" t="str">
        <f t="shared" si="13"/>
        <v>3</v>
      </c>
    </row>
    <row r="444" spans="1:13" ht="56.25" customHeight="1" x14ac:dyDescent="0.3">
      <c r="A444" s="7">
        <v>442</v>
      </c>
      <c r="B444" s="7" t="s">
        <v>1712</v>
      </c>
      <c r="C444" s="7" t="s">
        <v>1713</v>
      </c>
      <c r="D444" s="8">
        <v>0.81</v>
      </c>
      <c r="H444" s="10" t="s">
        <v>1710</v>
      </c>
      <c r="I444" s="11" t="s">
        <v>1711</v>
      </c>
      <c r="J444" s="10" t="s">
        <v>1714</v>
      </c>
      <c r="K444" s="11" t="s">
        <v>1715</v>
      </c>
      <c r="L444" s="18" t="str">
        <f t="shared" si="12"/>
        <v/>
      </c>
      <c r="M444" s="15" t="str">
        <f t="shared" si="13"/>
        <v>3</v>
      </c>
    </row>
    <row r="445" spans="1:13" ht="56.25" customHeight="1" x14ac:dyDescent="0.3">
      <c r="A445" s="5">
        <v>443</v>
      </c>
      <c r="B445" s="5" t="s">
        <v>1313</v>
      </c>
      <c r="C445" s="5" t="s">
        <v>1716</v>
      </c>
      <c r="D445" s="6">
        <v>0.81</v>
      </c>
      <c r="H445" s="10" t="s">
        <v>1710</v>
      </c>
      <c r="I445" s="11" t="s">
        <v>1711</v>
      </c>
      <c r="J445" s="10" t="s">
        <v>898</v>
      </c>
      <c r="K445" s="11" t="s">
        <v>988</v>
      </c>
      <c r="L445" s="18">
        <f t="shared" si="12"/>
        <v>0.25</v>
      </c>
      <c r="M445" s="15" t="str">
        <f t="shared" si="13"/>
        <v>3</v>
      </c>
    </row>
    <row r="446" spans="1:13" ht="56.25" customHeight="1" x14ac:dyDescent="0.3">
      <c r="A446" s="7">
        <v>444</v>
      </c>
      <c r="B446" s="7" t="s">
        <v>1280</v>
      </c>
      <c r="C446" s="7" t="s">
        <v>1717</v>
      </c>
      <c r="D446" s="8">
        <v>0.81</v>
      </c>
      <c r="H446" s="10" t="s">
        <v>1718</v>
      </c>
      <c r="I446" s="11" t="s">
        <v>1711</v>
      </c>
      <c r="J446" s="10" t="s">
        <v>1719</v>
      </c>
      <c r="K446" s="11" t="s">
        <v>1720</v>
      </c>
      <c r="L446" s="18">
        <f t="shared" si="12"/>
        <v>0.85</v>
      </c>
      <c r="M446" s="15" t="str">
        <f t="shared" si="13"/>
        <v>3</v>
      </c>
    </row>
    <row r="447" spans="1:13" ht="56.25" customHeight="1" x14ac:dyDescent="0.3">
      <c r="A447" s="5">
        <v>445</v>
      </c>
      <c r="B447" s="5" t="s">
        <v>1721</v>
      </c>
      <c r="C447" s="5" t="s">
        <v>1722</v>
      </c>
      <c r="D447" s="6">
        <v>0.81</v>
      </c>
      <c r="H447" s="10" t="s">
        <v>1723</v>
      </c>
      <c r="I447" s="11" t="s">
        <v>1724</v>
      </c>
      <c r="J447" s="10" t="s">
        <v>1725</v>
      </c>
      <c r="K447" s="11" t="s">
        <v>1726</v>
      </c>
      <c r="L447" s="18">
        <f t="shared" si="12"/>
        <v>0.87</v>
      </c>
      <c r="M447" s="15" t="str">
        <f t="shared" si="13"/>
        <v>3</v>
      </c>
    </row>
    <row r="448" spans="1:13" ht="56.25" customHeight="1" x14ac:dyDescent="0.3">
      <c r="A448" s="7">
        <v>446</v>
      </c>
      <c r="B448" s="7" t="s">
        <v>1727</v>
      </c>
      <c r="C448" s="7" t="s">
        <v>1728</v>
      </c>
      <c r="D448" s="8">
        <v>0.81</v>
      </c>
      <c r="H448" s="10" t="s">
        <v>1723</v>
      </c>
      <c r="I448" s="11" t="s">
        <v>1724</v>
      </c>
      <c r="J448" s="10" t="s">
        <v>933</v>
      </c>
      <c r="K448" s="11" t="s">
        <v>1729</v>
      </c>
      <c r="L448" s="18">
        <f t="shared" si="12"/>
        <v>0.28999999999999998</v>
      </c>
      <c r="M448" s="15" t="str">
        <f t="shared" si="13"/>
        <v>3</v>
      </c>
    </row>
    <row r="449" spans="1:13" ht="56.25" customHeight="1" x14ac:dyDescent="0.3">
      <c r="A449" s="5">
        <v>447</v>
      </c>
      <c r="B449" s="5" t="s">
        <v>1730</v>
      </c>
      <c r="C449" s="5" t="s">
        <v>1731</v>
      </c>
      <c r="D449" s="6">
        <v>0.81</v>
      </c>
      <c r="H449" s="10" t="s">
        <v>1723</v>
      </c>
      <c r="I449" s="11" t="s">
        <v>1724</v>
      </c>
      <c r="J449" s="10" t="s">
        <v>1636</v>
      </c>
      <c r="K449" s="11" t="s">
        <v>1732</v>
      </c>
      <c r="L449" s="18">
        <f t="shared" si="12"/>
        <v>0.77</v>
      </c>
      <c r="M449" s="15" t="str">
        <f t="shared" si="13"/>
        <v>3</v>
      </c>
    </row>
    <row r="450" spans="1:13" ht="56.25" customHeight="1" x14ac:dyDescent="0.3">
      <c r="A450" s="7">
        <v>448</v>
      </c>
      <c r="B450" s="7" t="s">
        <v>1733</v>
      </c>
      <c r="C450" s="7" t="s">
        <v>1734</v>
      </c>
      <c r="D450" s="8">
        <v>0.81</v>
      </c>
      <c r="H450" s="11" t="s">
        <v>1735</v>
      </c>
      <c r="I450" s="11" t="s">
        <v>1736</v>
      </c>
      <c r="J450" s="11" t="s">
        <v>634</v>
      </c>
      <c r="K450" s="11" t="s">
        <v>985</v>
      </c>
      <c r="L450" s="18">
        <f t="shared" si="12"/>
        <v>7.4999999999999997E-2</v>
      </c>
      <c r="M450" s="15" t="str">
        <f t="shared" si="13"/>
        <v>3</v>
      </c>
    </row>
    <row r="451" spans="1:13" ht="56.25" customHeight="1" x14ac:dyDescent="0.3">
      <c r="A451" s="5">
        <v>449</v>
      </c>
      <c r="B451" s="5" t="s">
        <v>1737</v>
      </c>
      <c r="C451" s="5" t="s">
        <v>1738</v>
      </c>
      <c r="D451" s="6">
        <v>0.82</v>
      </c>
      <c r="H451" s="10" t="s">
        <v>1735</v>
      </c>
      <c r="I451" s="11" t="s">
        <v>1736</v>
      </c>
      <c r="J451" s="10" t="s">
        <v>315</v>
      </c>
      <c r="K451" s="11" t="s">
        <v>1651</v>
      </c>
      <c r="L451" s="18">
        <f t="shared" ref="L451:L514" si="14">IFERROR(INDEX($D$3:$D$704,MATCH(TRIM(J451),$B$3:$B$704,0)),"")</f>
        <v>1.6E-2</v>
      </c>
      <c r="M451" s="15" t="str">
        <f t="shared" ref="M451:M514" si="15">LEFT(TEXT(H451,"0000")*0.1)</f>
        <v>3</v>
      </c>
    </row>
    <row r="452" spans="1:13" ht="56.25" customHeight="1" x14ac:dyDescent="0.3">
      <c r="A452" s="7">
        <v>450</v>
      </c>
      <c r="B452" s="7" t="s">
        <v>1739</v>
      </c>
      <c r="C452" s="7" t="s">
        <v>1740</v>
      </c>
      <c r="D452" s="8">
        <v>0.82</v>
      </c>
      <c r="H452" s="10" t="s">
        <v>1735</v>
      </c>
      <c r="I452" s="11" t="s">
        <v>1736</v>
      </c>
      <c r="J452" s="10" t="s">
        <v>1741</v>
      </c>
      <c r="K452" s="11" t="s">
        <v>1742</v>
      </c>
      <c r="L452" s="18">
        <f t="shared" si="14"/>
        <v>0.99</v>
      </c>
      <c r="M452" s="15" t="str">
        <f t="shared" si="15"/>
        <v>3</v>
      </c>
    </row>
    <row r="453" spans="1:13" ht="56.25" customHeight="1" x14ac:dyDescent="0.3">
      <c r="A453" s="5">
        <v>451</v>
      </c>
      <c r="B453" s="5" t="s">
        <v>1743</v>
      </c>
      <c r="C453" s="5" t="s">
        <v>1744</v>
      </c>
      <c r="D453" s="6">
        <v>0.82</v>
      </c>
      <c r="H453" s="10" t="s">
        <v>1745</v>
      </c>
      <c r="I453" s="11" t="s">
        <v>1746</v>
      </c>
      <c r="J453" s="10" t="s">
        <v>1741</v>
      </c>
      <c r="K453" s="11" t="s">
        <v>1742</v>
      </c>
      <c r="L453" s="18">
        <f t="shared" si="14"/>
        <v>0.99</v>
      </c>
      <c r="M453" s="15" t="str">
        <f t="shared" si="15"/>
        <v>3</v>
      </c>
    </row>
    <row r="454" spans="1:13" ht="56.25" customHeight="1" x14ac:dyDescent="0.3">
      <c r="A454" s="7">
        <v>452</v>
      </c>
      <c r="B454" s="7" t="s">
        <v>1747</v>
      </c>
      <c r="C454" s="7" t="s">
        <v>1748</v>
      </c>
      <c r="D454" s="8">
        <v>0.82</v>
      </c>
      <c r="H454" s="10" t="s">
        <v>1745</v>
      </c>
      <c r="I454" s="11" t="s">
        <v>1746</v>
      </c>
      <c r="J454" s="10" t="s">
        <v>1749</v>
      </c>
      <c r="K454" s="11" t="s">
        <v>1750</v>
      </c>
      <c r="L454" s="18">
        <f t="shared" si="14"/>
        <v>0.98</v>
      </c>
      <c r="M454" s="15" t="str">
        <f t="shared" si="15"/>
        <v>3</v>
      </c>
    </row>
    <row r="455" spans="1:13" ht="56.25" customHeight="1" x14ac:dyDescent="0.3">
      <c r="A455" s="5">
        <v>453</v>
      </c>
      <c r="B455" s="5" t="s">
        <v>1751</v>
      </c>
      <c r="C455" s="5" t="s">
        <v>1752</v>
      </c>
      <c r="D455" s="6">
        <v>0.82</v>
      </c>
      <c r="H455" s="10" t="s">
        <v>1753</v>
      </c>
      <c r="I455" s="11" t="s">
        <v>1754</v>
      </c>
      <c r="J455" s="10" t="s">
        <v>495</v>
      </c>
      <c r="K455" s="11" t="s">
        <v>1755</v>
      </c>
      <c r="L455" s="18">
        <f t="shared" si="14"/>
        <v>3.6999999999999998E-2</v>
      </c>
      <c r="M455" s="15" t="str">
        <f t="shared" si="15"/>
        <v>3</v>
      </c>
    </row>
    <row r="456" spans="1:13" ht="56.25" customHeight="1" x14ac:dyDescent="0.3">
      <c r="A456" s="7">
        <v>454</v>
      </c>
      <c r="B456" s="7" t="s">
        <v>1756</v>
      </c>
      <c r="C456" s="7" t="s">
        <v>1757</v>
      </c>
      <c r="D456" s="8">
        <v>0.82</v>
      </c>
      <c r="H456" s="10" t="s">
        <v>1758</v>
      </c>
      <c r="I456" s="11" t="s">
        <v>1759</v>
      </c>
      <c r="J456" s="10" t="s">
        <v>951</v>
      </c>
      <c r="K456" s="11" t="s">
        <v>952</v>
      </c>
      <c r="L456" s="18" t="str">
        <f t="shared" si="14"/>
        <v/>
      </c>
      <c r="M456" s="15" t="str">
        <f t="shared" si="15"/>
        <v>3</v>
      </c>
    </row>
    <row r="457" spans="1:13" ht="56.25" customHeight="1" x14ac:dyDescent="0.3">
      <c r="A457" s="5">
        <v>455</v>
      </c>
      <c r="B457" s="5" t="s">
        <v>1760</v>
      </c>
      <c r="C457" s="5" t="s">
        <v>1761</v>
      </c>
      <c r="D457" s="6">
        <v>0.82</v>
      </c>
      <c r="H457" s="10" t="s">
        <v>1758</v>
      </c>
      <c r="I457" s="11" t="s">
        <v>1759</v>
      </c>
      <c r="J457" s="10" t="s">
        <v>1762</v>
      </c>
      <c r="K457" s="11" t="s">
        <v>1763</v>
      </c>
      <c r="L457" s="18">
        <f t="shared" si="14"/>
        <v>0.97</v>
      </c>
      <c r="M457" s="15" t="str">
        <f t="shared" si="15"/>
        <v>3</v>
      </c>
    </row>
    <row r="458" spans="1:13" ht="56.25" customHeight="1" x14ac:dyDescent="0.3">
      <c r="A458" s="7">
        <v>456</v>
      </c>
      <c r="B458" s="7" t="s">
        <v>1764</v>
      </c>
      <c r="C458" s="7" t="s">
        <v>1765</v>
      </c>
      <c r="D458" s="8">
        <v>0.83</v>
      </c>
      <c r="H458" s="10" t="s">
        <v>1766</v>
      </c>
      <c r="I458" s="11" t="s">
        <v>1767</v>
      </c>
      <c r="J458" s="10" t="s">
        <v>1727</v>
      </c>
      <c r="K458" s="11" t="s">
        <v>1768</v>
      </c>
      <c r="L458" s="18">
        <f t="shared" si="14"/>
        <v>0.81</v>
      </c>
      <c r="M458" s="15" t="str">
        <f t="shared" si="15"/>
        <v>3</v>
      </c>
    </row>
    <row r="459" spans="1:13" ht="56.25" customHeight="1" x14ac:dyDescent="0.3">
      <c r="A459" s="5">
        <v>457</v>
      </c>
      <c r="B459" s="5" t="s">
        <v>1769</v>
      </c>
      <c r="C459" s="5" t="s">
        <v>1770</v>
      </c>
      <c r="D459" s="6">
        <v>0.83</v>
      </c>
      <c r="H459" s="11" t="s">
        <v>1766</v>
      </c>
      <c r="I459" s="11" t="s">
        <v>1767</v>
      </c>
      <c r="J459" s="11" t="s">
        <v>634</v>
      </c>
      <c r="K459" s="11" t="s">
        <v>985</v>
      </c>
      <c r="L459" s="18">
        <f t="shared" si="14"/>
        <v>7.4999999999999997E-2</v>
      </c>
      <c r="M459" s="15" t="str">
        <f t="shared" si="15"/>
        <v>3</v>
      </c>
    </row>
    <row r="460" spans="1:13" ht="56.25" customHeight="1" x14ac:dyDescent="0.3">
      <c r="A460" s="7">
        <v>458</v>
      </c>
      <c r="B460" s="7" t="s">
        <v>1771</v>
      </c>
      <c r="C460" s="7" t="s">
        <v>1772</v>
      </c>
      <c r="D460" s="8">
        <v>0.83</v>
      </c>
      <c r="H460" s="10" t="s">
        <v>1766</v>
      </c>
      <c r="I460" s="11" t="s">
        <v>1767</v>
      </c>
      <c r="J460" s="10" t="s">
        <v>1773</v>
      </c>
      <c r="K460" s="11" t="s">
        <v>1774</v>
      </c>
      <c r="L460" s="18">
        <f t="shared" si="14"/>
        <v>0.97</v>
      </c>
      <c r="M460" s="15" t="str">
        <f t="shared" si="15"/>
        <v>3</v>
      </c>
    </row>
    <row r="461" spans="1:13" ht="56.25" customHeight="1" x14ac:dyDescent="0.3">
      <c r="A461" s="5">
        <v>459</v>
      </c>
      <c r="B461" s="5" t="s">
        <v>1775</v>
      </c>
      <c r="C461" s="5" t="s">
        <v>1776</v>
      </c>
      <c r="D461" s="6">
        <v>0.83</v>
      </c>
      <c r="H461" s="10" t="s">
        <v>1766</v>
      </c>
      <c r="I461" s="11" t="s">
        <v>1767</v>
      </c>
      <c r="J461" s="10" t="s">
        <v>1777</v>
      </c>
      <c r="K461" s="11" t="s">
        <v>1778</v>
      </c>
      <c r="L461" s="18">
        <f t="shared" si="14"/>
        <v>0.86</v>
      </c>
      <c r="M461" s="15" t="str">
        <f t="shared" si="15"/>
        <v>3</v>
      </c>
    </row>
    <row r="462" spans="1:13" ht="56.25" customHeight="1" x14ac:dyDescent="0.3">
      <c r="A462" s="7">
        <v>460</v>
      </c>
      <c r="B462" s="7" t="s">
        <v>1779</v>
      </c>
      <c r="C462" s="7" t="s">
        <v>1780</v>
      </c>
      <c r="D462" s="8">
        <v>0.83</v>
      </c>
      <c r="H462" s="10" t="s">
        <v>1781</v>
      </c>
      <c r="I462" s="11" t="s">
        <v>1782</v>
      </c>
      <c r="J462" s="10" t="s">
        <v>867</v>
      </c>
      <c r="K462" s="11" t="s">
        <v>1783</v>
      </c>
      <c r="L462" s="18">
        <f t="shared" si="14"/>
        <v>0.24</v>
      </c>
      <c r="M462" s="15" t="str">
        <f t="shared" si="15"/>
        <v>3</v>
      </c>
    </row>
    <row r="463" spans="1:13" ht="56.25" customHeight="1" x14ac:dyDescent="0.3">
      <c r="A463" s="5">
        <v>461</v>
      </c>
      <c r="B463" s="5" t="s">
        <v>1784</v>
      </c>
      <c r="C463" s="5" t="s">
        <v>1785</v>
      </c>
      <c r="D463" s="6">
        <v>0.83</v>
      </c>
      <c r="H463" s="10" t="s">
        <v>1781</v>
      </c>
      <c r="I463" s="11" t="s">
        <v>1782</v>
      </c>
      <c r="J463" s="10" t="s">
        <v>1253</v>
      </c>
      <c r="K463" s="11" t="s">
        <v>1786</v>
      </c>
      <c r="L463" s="18">
        <f t="shared" si="14"/>
        <v>0.56999999999999995</v>
      </c>
      <c r="M463" s="15" t="str">
        <f t="shared" si="15"/>
        <v>3</v>
      </c>
    </row>
    <row r="464" spans="1:13" ht="56.25" customHeight="1" x14ac:dyDescent="0.3">
      <c r="A464" s="7">
        <v>462</v>
      </c>
      <c r="B464" s="7" t="s">
        <v>1787</v>
      </c>
      <c r="C464" s="7" t="s">
        <v>1788</v>
      </c>
      <c r="D464" s="8">
        <v>0.83</v>
      </c>
      <c r="H464" s="10" t="s">
        <v>1781</v>
      </c>
      <c r="I464" s="11" t="s">
        <v>1782</v>
      </c>
      <c r="J464" s="10" t="s">
        <v>853</v>
      </c>
      <c r="K464" s="11" t="s">
        <v>946</v>
      </c>
      <c r="L464" s="18">
        <f t="shared" si="14"/>
        <v>0.23</v>
      </c>
      <c r="M464" s="15" t="str">
        <f t="shared" si="15"/>
        <v>3</v>
      </c>
    </row>
    <row r="465" spans="1:13" ht="56.25" customHeight="1" x14ac:dyDescent="0.3">
      <c r="A465" s="5">
        <v>463</v>
      </c>
      <c r="B465" s="5" t="s">
        <v>1789</v>
      </c>
      <c r="C465" s="5" t="s">
        <v>1790</v>
      </c>
      <c r="D465" s="6">
        <v>0.83</v>
      </c>
      <c r="H465" s="10" t="s">
        <v>1781</v>
      </c>
      <c r="I465" s="11" t="s">
        <v>1782</v>
      </c>
      <c r="J465" s="10" t="s">
        <v>963</v>
      </c>
      <c r="K465" s="11" t="s">
        <v>1791</v>
      </c>
      <c r="L465" s="18">
        <f t="shared" si="14"/>
        <v>0.33</v>
      </c>
      <c r="M465" s="15" t="str">
        <f t="shared" si="15"/>
        <v>3</v>
      </c>
    </row>
    <row r="466" spans="1:13" ht="56.25" customHeight="1" x14ac:dyDescent="0.3">
      <c r="A466" s="7">
        <v>464</v>
      </c>
      <c r="B466" s="7" t="s">
        <v>1792</v>
      </c>
      <c r="C466" s="7" t="s">
        <v>1793</v>
      </c>
      <c r="D466" s="8">
        <v>0.83</v>
      </c>
      <c r="H466" s="11" t="s">
        <v>1781</v>
      </c>
      <c r="I466" s="11" t="s">
        <v>1782</v>
      </c>
      <c r="J466" s="11" t="s">
        <v>634</v>
      </c>
      <c r="K466" s="11" t="s">
        <v>985</v>
      </c>
      <c r="L466" s="18">
        <f t="shared" si="14"/>
        <v>7.4999999999999997E-2</v>
      </c>
      <c r="M466" s="15" t="str">
        <f t="shared" si="15"/>
        <v>3</v>
      </c>
    </row>
    <row r="467" spans="1:13" ht="56.25" customHeight="1" x14ac:dyDescent="0.3">
      <c r="A467" s="5">
        <v>465</v>
      </c>
      <c r="B467" s="5" t="s">
        <v>1794</v>
      </c>
      <c r="C467" s="5" t="s">
        <v>1795</v>
      </c>
      <c r="D467" s="6">
        <v>0.83</v>
      </c>
      <c r="H467" s="10" t="s">
        <v>1781</v>
      </c>
      <c r="I467" s="11" t="s">
        <v>1782</v>
      </c>
      <c r="J467" s="10" t="s">
        <v>1216</v>
      </c>
      <c r="K467" s="11" t="s">
        <v>1796</v>
      </c>
      <c r="L467" s="18">
        <f t="shared" si="14"/>
        <v>0.54</v>
      </c>
      <c r="M467" s="15" t="str">
        <f t="shared" si="15"/>
        <v>3</v>
      </c>
    </row>
    <row r="468" spans="1:13" ht="56.25" customHeight="1" x14ac:dyDescent="0.3">
      <c r="A468" s="7">
        <v>466</v>
      </c>
      <c r="B468" s="7" t="s">
        <v>1797</v>
      </c>
      <c r="C468" s="7" t="s">
        <v>1798</v>
      </c>
      <c r="D468" s="8">
        <v>0.83</v>
      </c>
      <c r="H468" s="10" t="s">
        <v>1781</v>
      </c>
      <c r="I468" s="11" t="s">
        <v>1782</v>
      </c>
      <c r="J468" s="10" t="s">
        <v>675</v>
      </c>
      <c r="K468" s="11" t="s">
        <v>1799</v>
      </c>
      <c r="L468" s="18">
        <f t="shared" si="14"/>
        <v>9.9000000000000005E-2</v>
      </c>
      <c r="M468" s="15" t="str">
        <f t="shared" si="15"/>
        <v>3</v>
      </c>
    </row>
    <row r="469" spans="1:13" ht="56.25" customHeight="1" x14ac:dyDescent="0.3">
      <c r="A469" s="5">
        <v>467</v>
      </c>
      <c r="B469" s="5" t="s">
        <v>1800</v>
      </c>
      <c r="C469" s="5" t="s">
        <v>1801</v>
      </c>
      <c r="D469" s="6">
        <v>0.83</v>
      </c>
      <c r="H469" s="10" t="s">
        <v>1781</v>
      </c>
      <c r="I469" s="11" t="s">
        <v>1782</v>
      </c>
      <c r="J469" s="10" t="s">
        <v>1802</v>
      </c>
      <c r="K469" s="11" t="s">
        <v>1803</v>
      </c>
      <c r="L469" s="18" t="str">
        <f t="shared" si="14"/>
        <v/>
      </c>
      <c r="M469" s="15" t="str">
        <f t="shared" si="15"/>
        <v>3</v>
      </c>
    </row>
    <row r="470" spans="1:13" ht="56.25" customHeight="1" x14ac:dyDescent="0.3">
      <c r="A470" s="7">
        <v>468</v>
      </c>
      <c r="B470" s="7" t="s">
        <v>1804</v>
      </c>
      <c r="C470" s="7" t="s">
        <v>1805</v>
      </c>
      <c r="D470" s="8">
        <v>0.83</v>
      </c>
      <c r="H470" s="10" t="s">
        <v>1806</v>
      </c>
      <c r="I470" s="11" t="s">
        <v>1807</v>
      </c>
      <c r="J470" s="10" t="s">
        <v>279</v>
      </c>
      <c r="K470" s="11" t="s">
        <v>1808</v>
      </c>
      <c r="L470" s="18">
        <f t="shared" si="14"/>
        <v>1.4E-2</v>
      </c>
      <c r="M470" s="15" t="str">
        <f t="shared" si="15"/>
        <v>3</v>
      </c>
    </row>
    <row r="471" spans="1:13" ht="56.25" customHeight="1" x14ac:dyDescent="0.3">
      <c r="A471" s="5">
        <v>469</v>
      </c>
      <c r="B471" s="5" t="s">
        <v>1809</v>
      </c>
      <c r="C471" s="5" t="s">
        <v>1810</v>
      </c>
      <c r="D471" s="6">
        <v>0.83</v>
      </c>
      <c r="H471" s="10" t="s">
        <v>1811</v>
      </c>
      <c r="I471" s="11" t="s">
        <v>1812</v>
      </c>
      <c r="J471" s="10" t="s">
        <v>1813</v>
      </c>
      <c r="K471" s="13" t="s">
        <v>1814</v>
      </c>
      <c r="L471" s="18">
        <f t="shared" si="14"/>
        <v>0.98</v>
      </c>
      <c r="M471" s="15" t="str">
        <f t="shared" si="15"/>
        <v>3</v>
      </c>
    </row>
    <row r="472" spans="1:13" ht="56.25" customHeight="1" x14ac:dyDescent="0.3">
      <c r="A472" s="7">
        <v>470</v>
      </c>
      <c r="B472" s="7" t="s">
        <v>1815</v>
      </c>
      <c r="C472" s="7" t="s">
        <v>1816</v>
      </c>
      <c r="D472" s="8">
        <v>0.83</v>
      </c>
      <c r="H472" s="10" t="s">
        <v>1817</v>
      </c>
      <c r="I472" s="11" t="s">
        <v>1818</v>
      </c>
      <c r="J472" s="10" t="s">
        <v>1177</v>
      </c>
      <c r="K472" s="13" t="s">
        <v>1819</v>
      </c>
      <c r="L472" s="18">
        <f t="shared" si="14"/>
        <v>0.5</v>
      </c>
      <c r="M472" s="15" t="str">
        <f t="shared" si="15"/>
        <v>3</v>
      </c>
    </row>
    <row r="473" spans="1:13" ht="56.25" customHeight="1" x14ac:dyDescent="0.3">
      <c r="A473" s="5">
        <v>471</v>
      </c>
      <c r="B473" s="5" t="s">
        <v>1820</v>
      </c>
      <c r="C473" s="5" t="s">
        <v>1821</v>
      </c>
      <c r="D473" s="6">
        <v>0.83</v>
      </c>
      <c r="H473" s="10" t="s">
        <v>1817</v>
      </c>
      <c r="I473" s="11" t="s">
        <v>1818</v>
      </c>
      <c r="J473" s="10" t="s">
        <v>1822</v>
      </c>
      <c r="K473" s="13" t="s">
        <v>1823</v>
      </c>
      <c r="L473" s="18">
        <f t="shared" si="14"/>
        <v>0.86</v>
      </c>
      <c r="M473" s="15" t="str">
        <f t="shared" si="15"/>
        <v>3</v>
      </c>
    </row>
    <row r="474" spans="1:13" ht="56.25" customHeight="1" x14ac:dyDescent="0.3">
      <c r="A474" s="7">
        <v>472</v>
      </c>
      <c r="B474" s="7" t="s">
        <v>1824</v>
      </c>
      <c r="C474" s="7" t="s">
        <v>1825</v>
      </c>
      <c r="D474" s="8">
        <v>0.83</v>
      </c>
      <c r="H474" s="10" t="s">
        <v>1826</v>
      </c>
      <c r="I474" s="11" t="s">
        <v>1731</v>
      </c>
      <c r="J474" s="10" t="s">
        <v>1827</v>
      </c>
      <c r="K474" s="11" t="s">
        <v>1828</v>
      </c>
      <c r="L474" s="18">
        <f t="shared" si="14"/>
        <v>0.89</v>
      </c>
      <c r="M474" s="15" t="str">
        <f t="shared" si="15"/>
        <v>3</v>
      </c>
    </row>
    <row r="475" spans="1:13" ht="56.25" customHeight="1" x14ac:dyDescent="0.3">
      <c r="A475" s="5">
        <v>473</v>
      </c>
      <c r="B475" s="5" t="s">
        <v>1829</v>
      </c>
      <c r="C475" s="5" t="s">
        <v>1830</v>
      </c>
      <c r="D475" s="6">
        <v>0.84</v>
      </c>
      <c r="H475" s="10" t="s">
        <v>1826</v>
      </c>
      <c r="I475" s="11" t="s">
        <v>1731</v>
      </c>
      <c r="J475" s="10" t="s">
        <v>1730</v>
      </c>
      <c r="K475" s="13" t="s">
        <v>1831</v>
      </c>
      <c r="L475" s="18">
        <f t="shared" si="14"/>
        <v>0.81</v>
      </c>
      <c r="M475" s="15" t="str">
        <f t="shared" si="15"/>
        <v>3</v>
      </c>
    </row>
    <row r="476" spans="1:13" ht="56.25" customHeight="1" x14ac:dyDescent="0.3">
      <c r="A476" s="7">
        <v>474</v>
      </c>
      <c r="B476" s="7" t="s">
        <v>1276</v>
      </c>
      <c r="C476" s="7" t="s">
        <v>1832</v>
      </c>
      <c r="D476" s="8">
        <v>0.84</v>
      </c>
      <c r="H476" s="10" t="s">
        <v>1833</v>
      </c>
      <c r="I476" s="11" t="s">
        <v>1834</v>
      </c>
      <c r="J476" s="10" t="s">
        <v>647</v>
      </c>
      <c r="K476" s="11" t="s">
        <v>1835</v>
      </c>
      <c r="L476" s="18">
        <f t="shared" si="14"/>
        <v>0.08</v>
      </c>
      <c r="M476" s="15" t="str">
        <f t="shared" si="15"/>
        <v>3</v>
      </c>
    </row>
    <row r="477" spans="1:13" ht="56.25" customHeight="1" x14ac:dyDescent="0.3">
      <c r="A477" s="5">
        <v>475</v>
      </c>
      <c r="B477" s="5" t="s">
        <v>1836</v>
      </c>
      <c r="C477" s="5" t="s">
        <v>1837</v>
      </c>
      <c r="D477" s="6">
        <v>0.84</v>
      </c>
      <c r="H477" s="11" t="s">
        <v>1833</v>
      </c>
      <c r="I477" s="11" t="s">
        <v>1834</v>
      </c>
      <c r="J477" s="11" t="s">
        <v>79</v>
      </c>
      <c r="K477" s="11" t="s">
        <v>1838</v>
      </c>
      <c r="L477" s="18">
        <f t="shared" si="14"/>
        <v>4.4000000000000003E-3</v>
      </c>
      <c r="M477" s="15" t="str">
        <f t="shared" si="15"/>
        <v>3</v>
      </c>
    </row>
    <row r="478" spans="1:13" ht="56.25" customHeight="1" x14ac:dyDescent="0.3">
      <c r="A478" s="7">
        <v>476</v>
      </c>
      <c r="B478" s="7" t="s">
        <v>1839</v>
      </c>
      <c r="C478" s="7" t="s">
        <v>1840</v>
      </c>
      <c r="D478" s="8">
        <v>0.84</v>
      </c>
      <c r="H478" s="10" t="s">
        <v>1833</v>
      </c>
      <c r="I478" s="11" t="s">
        <v>1834</v>
      </c>
      <c r="J478" s="10" t="s">
        <v>673</v>
      </c>
      <c r="K478" s="11" t="s">
        <v>1841</v>
      </c>
      <c r="L478" s="18">
        <f t="shared" si="14"/>
        <v>9.8000000000000004E-2</v>
      </c>
      <c r="M478" s="15" t="str">
        <f t="shared" si="15"/>
        <v>3</v>
      </c>
    </row>
    <row r="479" spans="1:13" ht="56.25" customHeight="1" x14ac:dyDescent="0.3">
      <c r="A479" s="5">
        <v>477</v>
      </c>
      <c r="B479" s="5" t="s">
        <v>1842</v>
      </c>
      <c r="C479" s="5" t="s">
        <v>1843</v>
      </c>
      <c r="D479" s="6">
        <v>0.84</v>
      </c>
      <c r="H479" s="10" t="s">
        <v>1844</v>
      </c>
      <c r="I479" s="11" t="s">
        <v>1845</v>
      </c>
      <c r="J479" s="10" t="s">
        <v>1846</v>
      </c>
      <c r="K479" s="11" t="s">
        <v>1847</v>
      </c>
      <c r="L479" s="18">
        <f t="shared" si="14"/>
        <v>0.93</v>
      </c>
      <c r="M479" s="15" t="str">
        <f t="shared" si="15"/>
        <v>3</v>
      </c>
    </row>
    <row r="480" spans="1:13" ht="56.25" customHeight="1" x14ac:dyDescent="0.3">
      <c r="A480" s="7">
        <v>478</v>
      </c>
      <c r="B480" s="7" t="s">
        <v>1848</v>
      </c>
      <c r="C480" s="7" t="s">
        <v>1849</v>
      </c>
      <c r="D480" s="8">
        <v>0.84</v>
      </c>
      <c r="H480" s="10" t="s">
        <v>1850</v>
      </c>
      <c r="I480" s="11" t="s">
        <v>1851</v>
      </c>
      <c r="J480" s="10" t="s">
        <v>647</v>
      </c>
      <c r="K480" s="11" t="s">
        <v>1835</v>
      </c>
      <c r="L480" s="18">
        <f t="shared" si="14"/>
        <v>0.08</v>
      </c>
      <c r="M480" s="15" t="str">
        <f t="shared" si="15"/>
        <v>3</v>
      </c>
    </row>
    <row r="481" spans="1:13" ht="56.25" customHeight="1" x14ac:dyDescent="0.3">
      <c r="A481" s="5">
        <v>479</v>
      </c>
      <c r="B481" s="5" t="s">
        <v>1852</v>
      </c>
      <c r="C481" s="5" t="s">
        <v>1853</v>
      </c>
      <c r="D481" s="6">
        <v>0.84</v>
      </c>
      <c r="H481" s="10" t="s">
        <v>1850</v>
      </c>
      <c r="I481" s="11" t="s">
        <v>1851</v>
      </c>
      <c r="J481" s="10" t="s">
        <v>1481</v>
      </c>
      <c r="K481" s="11" t="s">
        <v>1854</v>
      </c>
      <c r="L481" s="18">
        <f t="shared" si="14"/>
        <v>0.7</v>
      </c>
      <c r="M481" s="15" t="str">
        <f t="shared" si="15"/>
        <v>3</v>
      </c>
    </row>
    <row r="482" spans="1:13" ht="56.25" customHeight="1" x14ac:dyDescent="0.3">
      <c r="A482" s="7">
        <v>480</v>
      </c>
      <c r="B482" s="7" t="s">
        <v>1855</v>
      </c>
      <c r="C482" s="7" t="s">
        <v>1856</v>
      </c>
      <c r="D482" s="8">
        <v>0.84</v>
      </c>
      <c r="H482" s="10" t="s">
        <v>1857</v>
      </c>
      <c r="I482" s="11" t="s">
        <v>1858</v>
      </c>
      <c r="J482" s="10" t="s">
        <v>647</v>
      </c>
      <c r="K482" s="11" t="s">
        <v>1835</v>
      </c>
      <c r="L482" s="18">
        <f t="shared" si="14"/>
        <v>0.08</v>
      </c>
      <c r="M482" s="15" t="str">
        <f t="shared" si="15"/>
        <v>3</v>
      </c>
    </row>
    <row r="483" spans="1:13" ht="56.25" customHeight="1" x14ac:dyDescent="0.3">
      <c r="A483" s="5">
        <v>481</v>
      </c>
      <c r="B483" s="5" t="s">
        <v>1859</v>
      </c>
      <c r="C483" s="5" t="s">
        <v>1860</v>
      </c>
      <c r="D483" s="6">
        <v>0.84</v>
      </c>
      <c r="H483" s="10" t="s">
        <v>1857</v>
      </c>
      <c r="I483" s="11" t="s">
        <v>1858</v>
      </c>
      <c r="J483" s="10" t="s">
        <v>1125</v>
      </c>
      <c r="K483" s="11" t="s">
        <v>1861</v>
      </c>
      <c r="L483" s="18">
        <f t="shared" si="14"/>
        <v>0.46</v>
      </c>
      <c r="M483" s="15" t="str">
        <f t="shared" si="15"/>
        <v>3</v>
      </c>
    </row>
    <row r="484" spans="1:13" ht="56.25" customHeight="1" x14ac:dyDescent="0.3">
      <c r="A484" s="7">
        <v>482</v>
      </c>
      <c r="B484" s="7" t="s">
        <v>1862</v>
      </c>
      <c r="C484" s="7" t="s">
        <v>1863</v>
      </c>
      <c r="D484" s="8">
        <v>0.84</v>
      </c>
      <c r="H484" s="11" t="s">
        <v>1864</v>
      </c>
      <c r="I484" s="11" t="s">
        <v>1865</v>
      </c>
      <c r="J484" s="11" t="s">
        <v>79</v>
      </c>
      <c r="K484" s="11" t="s">
        <v>1838</v>
      </c>
      <c r="L484" s="18">
        <f t="shared" si="14"/>
        <v>4.4000000000000003E-3</v>
      </c>
      <c r="M484" s="15" t="str">
        <f t="shared" si="15"/>
        <v>3</v>
      </c>
    </row>
    <row r="485" spans="1:13" ht="56.25" customHeight="1" x14ac:dyDescent="0.3">
      <c r="A485" s="5">
        <v>483</v>
      </c>
      <c r="B485" s="5" t="s">
        <v>1866</v>
      </c>
      <c r="C485" s="5" t="s">
        <v>1867</v>
      </c>
      <c r="D485" s="6">
        <v>0.85</v>
      </c>
      <c r="H485" s="10" t="s">
        <v>1864</v>
      </c>
      <c r="I485" s="11" t="s">
        <v>1865</v>
      </c>
      <c r="J485" s="10" t="s">
        <v>967</v>
      </c>
      <c r="K485" s="11" t="s">
        <v>1868</v>
      </c>
      <c r="L485" s="18">
        <f t="shared" si="14"/>
        <v>0.34</v>
      </c>
      <c r="M485" s="15" t="str">
        <f t="shared" si="15"/>
        <v>3</v>
      </c>
    </row>
    <row r="486" spans="1:13" ht="56.25" customHeight="1" x14ac:dyDescent="0.3">
      <c r="A486" s="7">
        <v>484</v>
      </c>
      <c r="B486" s="7" t="s">
        <v>1719</v>
      </c>
      <c r="C486" s="7" t="s">
        <v>1869</v>
      </c>
      <c r="D486" s="8">
        <v>0.85</v>
      </c>
      <c r="H486" s="10" t="s">
        <v>1870</v>
      </c>
      <c r="I486" s="11" t="s">
        <v>1871</v>
      </c>
      <c r="J486" s="10" t="s">
        <v>1604</v>
      </c>
      <c r="K486" s="11" t="s">
        <v>1605</v>
      </c>
      <c r="L486" s="18">
        <f t="shared" si="14"/>
        <v>0.94</v>
      </c>
      <c r="M486" s="15" t="str">
        <f t="shared" si="15"/>
        <v>3</v>
      </c>
    </row>
    <row r="487" spans="1:13" ht="56.25" customHeight="1" x14ac:dyDescent="0.3">
      <c r="A487" s="5">
        <v>485</v>
      </c>
      <c r="B487" s="5" t="s">
        <v>1872</v>
      </c>
      <c r="C487" s="5" t="s">
        <v>1873</v>
      </c>
      <c r="D487" s="6">
        <v>0.85</v>
      </c>
      <c r="H487" s="10" t="s">
        <v>1874</v>
      </c>
      <c r="I487" s="11" t="s">
        <v>1875</v>
      </c>
      <c r="J487" s="10" t="s">
        <v>1097</v>
      </c>
      <c r="K487" s="11" t="s">
        <v>1876</v>
      </c>
      <c r="L487" s="18">
        <f t="shared" si="14"/>
        <v>0.41</v>
      </c>
      <c r="M487" s="15" t="str">
        <f t="shared" si="15"/>
        <v>3</v>
      </c>
    </row>
    <row r="488" spans="1:13" ht="56.25" customHeight="1" x14ac:dyDescent="0.3">
      <c r="A488" s="7">
        <v>486</v>
      </c>
      <c r="B488" s="7" t="s">
        <v>1378</v>
      </c>
      <c r="C488" s="7" t="s">
        <v>1877</v>
      </c>
      <c r="D488" s="8">
        <v>0.85</v>
      </c>
      <c r="H488" s="10" t="s">
        <v>1874</v>
      </c>
      <c r="I488" s="11" t="s">
        <v>1875</v>
      </c>
      <c r="J488" s="10" t="s">
        <v>1878</v>
      </c>
      <c r="K488" s="11" t="s">
        <v>1879</v>
      </c>
      <c r="L488" s="18">
        <f t="shared" si="14"/>
        <v>0.94</v>
      </c>
      <c r="M488" s="15" t="str">
        <f t="shared" si="15"/>
        <v>3</v>
      </c>
    </row>
    <row r="489" spans="1:13" ht="56.25" customHeight="1" x14ac:dyDescent="0.3">
      <c r="A489" s="5">
        <v>487</v>
      </c>
      <c r="B489" s="5" t="s">
        <v>1397</v>
      </c>
      <c r="C489" s="5" t="s">
        <v>1880</v>
      </c>
      <c r="D489" s="6">
        <v>0.85</v>
      </c>
      <c r="H489" s="10" t="s">
        <v>1874</v>
      </c>
      <c r="I489" s="11" t="s">
        <v>1875</v>
      </c>
      <c r="J489" s="10" t="s">
        <v>1881</v>
      </c>
      <c r="K489" s="11" t="s">
        <v>1882</v>
      </c>
      <c r="L489" s="18">
        <f t="shared" si="14"/>
        <v>0.99</v>
      </c>
      <c r="M489" s="15" t="str">
        <f t="shared" si="15"/>
        <v>3</v>
      </c>
    </row>
    <row r="490" spans="1:13" ht="56.25" customHeight="1" x14ac:dyDescent="0.3">
      <c r="A490" s="7">
        <v>488</v>
      </c>
      <c r="B490" s="7" t="s">
        <v>1883</v>
      </c>
      <c r="C490" s="7" t="s">
        <v>1884</v>
      </c>
      <c r="D490" s="8">
        <v>0.85</v>
      </c>
      <c r="H490" s="10" t="s">
        <v>1874</v>
      </c>
      <c r="I490" s="11" t="s">
        <v>1875</v>
      </c>
      <c r="J490" s="10" t="s">
        <v>1885</v>
      </c>
      <c r="K490" s="11" t="s">
        <v>1886</v>
      </c>
      <c r="L490" s="18" t="str">
        <f t="shared" si="14"/>
        <v/>
      </c>
      <c r="M490" s="15" t="str">
        <f t="shared" si="15"/>
        <v>3</v>
      </c>
    </row>
    <row r="491" spans="1:13" ht="56.25" customHeight="1" x14ac:dyDescent="0.3">
      <c r="A491" s="5">
        <v>489</v>
      </c>
      <c r="B491" s="5" t="s">
        <v>1336</v>
      </c>
      <c r="C491" s="5" t="s">
        <v>1887</v>
      </c>
      <c r="D491" s="6">
        <v>0.85</v>
      </c>
      <c r="H491" s="10" t="s">
        <v>1874</v>
      </c>
      <c r="I491" s="11" t="s">
        <v>1875</v>
      </c>
      <c r="J491" s="10" t="s">
        <v>993</v>
      </c>
      <c r="K491" s="11" t="s">
        <v>994</v>
      </c>
      <c r="L491" s="18">
        <f t="shared" si="14"/>
        <v>0.36</v>
      </c>
      <c r="M491" s="15" t="str">
        <f t="shared" si="15"/>
        <v>3</v>
      </c>
    </row>
    <row r="492" spans="1:13" ht="56.25" customHeight="1" x14ac:dyDescent="0.3">
      <c r="A492" s="7">
        <v>490</v>
      </c>
      <c r="B492" s="7" t="s">
        <v>1822</v>
      </c>
      <c r="C492" s="7" t="s">
        <v>1888</v>
      </c>
      <c r="D492" s="8">
        <v>0.86</v>
      </c>
      <c r="H492" s="10" t="s">
        <v>1874</v>
      </c>
      <c r="I492" s="11" t="s">
        <v>1875</v>
      </c>
      <c r="J492" s="10" t="s">
        <v>957</v>
      </c>
      <c r="K492" s="11" t="s">
        <v>1889</v>
      </c>
      <c r="L492" s="18">
        <f t="shared" si="14"/>
        <v>0.31</v>
      </c>
      <c r="M492" s="15" t="str">
        <f t="shared" si="15"/>
        <v>3</v>
      </c>
    </row>
    <row r="493" spans="1:13" ht="56.25" customHeight="1" x14ac:dyDescent="0.3">
      <c r="A493" s="5">
        <v>491</v>
      </c>
      <c r="B493" s="5" t="s">
        <v>1387</v>
      </c>
      <c r="C493" s="5" t="s">
        <v>1890</v>
      </c>
      <c r="D493" s="6">
        <v>0.86</v>
      </c>
      <c r="H493" s="10" t="s">
        <v>1874</v>
      </c>
      <c r="I493" s="11" t="s">
        <v>1875</v>
      </c>
      <c r="J493" s="10" t="s">
        <v>1891</v>
      </c>
      <c r="K493" s="11" t="s">
        <v>1892</v>
      </c>
      <c r="L493" s="18">
        <f t="shared" si="14"/>
        <v>0.95</v>
      </c>
      <c r="M493" s="15" t="str">
        <f t="shared" si="15"/>
        <v>3</v>
      </c>
    </row>
    <row r="494" spans="1:13" ht="56.25" customHeight="1" x14ac:dyDescent="0.3">
      <c r="A494" s="7">
        <v>492</v>
      </c>
      <c r="B494" s="7" t="s">
        <v>1893</v>
      </c>
      <c r="C494" s="7" t="s">
        <v>1894</v>
      </c>
      <c r="D494" s="8">
        <v>0.86</v>
      </c>
      <c r="H494" s="10" t="s">
        <v>1895</v>
      </c>
      <c r="I494" s="11" t="s">
        <v>1896</v>
      </c>
      <c r="J494" s="10" t="s">
        <v>738</v>
      </c>
      <c r="K494" s="11" t="s">
        <v>1897</v>
      </c>
      <c r="L494" s="18">
        <f t="shared" si="14"/>
        <v>0.13</v>
      </c>
      <c r="M494" s="15" t="str">
        <f t="shared" si="15"/>
        <v>3</v>
      </c>
    </row>
    <row r="495" spans="1:13" ht="56.25" customHeight="1" x14ac:dyDescent="0.3">
      <c r="A495" s="5">
        <v>493</v>
      </c>
      <c r="B495" s="5" t="s">
        <v>1898</v>
      </c>
      <c r="C495" s="5" t="s">
        <v>1899</v>
      </c>
      <c r="D495" s="6">
        <v>0.86</v>
      </c>
      <c r="H495" s="10" t="s">
        <v>1900</v>
      </c>
      <c r="I495" s="11" t="s">
        <v>1901</v>
      </c>
      <c r="J495" s="10" t="s">
        <v>1902</v>
      </c>
      <c r="K495" s="11" t="s">
        <v>1903</v>
      </c>
      <c r="L495" s="18" t="str">
        <f t="shared" si="14"/>
        <v/>
      </c>
      <c r="M495" s="15" t="str">
        <f t="shared" si="15"/>
        <v>3</v>
      </c>
    </row>
    <row r="496" spans="1:13" ht="56.25" customHeight="1" x14ac:dyDescent="0.3">
      <c r="A496" s="7">
        <v>494</v>
      </c>
      <c r="B496" s="7" t="s">
        <v>1904</v>
      </c>
      <c r="C496" s="7" t="s">
        <v>1905</v>
      </c>
      <c r="D496" s="8">
        <v>0.86</v>
      </c>
      <c r="H496" s="10" t="s">
        <v>1906</v>
      </c>
      <c r="I496" s="11" t="s">
        <v>1907</v>
      </c>
      <c r="J496" s="10" t="s">
        <v>922</v>
      </c>
      <c r="K496" s="11" t="s">
        <v>1908</v>
      </c>
      <c r="L496" s="18">
        <f t="shared" si="14"/>
        <v>0.28000000000000003</v>
      </c>
      <c r="M496" s="15" t="str">
        <f t="shared" si="15"/>
        <v>3</v>
      </c>
    </row>
    <row r="497" spans="1:13" ht="56.25" customHeight="1" x14ac:dyDescent="0.3">
      <c r="A497" s="5">
        <v>495</v>
      </c>
      <c r="B497" s="5" t="s">
        <v>1554</v>
      </c>
      <c r="C497" s="5" t="s">
        <v>1909</v>
      </c>
      <c r="D497" s="6">
        <v>0.86</v>
      </c>
      <c r="H497" s="10" t="s">
        <v>1910</v>
      </c>
      <c r="I497" s="11" t="s">
        <v>1911</v>
      </c>
      <c r="J497" s="10" t="s">
        <v>742</v>
      </c>
      <c r="K497" s="11" t="s">
        <v>874</v>
      </c>
      <c r="L497" s="18">
        <f t="shared" si="14"/>
        <v>0.13</v>
      </c>
      <c r="M497" s="15" t="str">
        <f t="shared" si="15"/>
        <v>3</v>
      </c>
    </row>
    <row r="498" spans="1:13" ht="56.25" customHeight="1" x14ac:dyDescent="0.3">
      <c r="A498" s="7">
        <v>496</v>
      </c>
      <c r="B498" s="7" t="s">
        <v>1912</v>
      </c>
      <c r="C498" s="7" t="s">
        <v>1913</v>
      </c>
      <c r="D498" s="8">
        <v>0.86</v>
      </c>
      <c r="H498" s="10" t="s">
        <v>1910</v>
      </c>
      <c r="I498" s="11" t="s">
        <v>1911</v>
      </c>
      <c r="J498" s="10" t="s">
        <v>254</v>
      </c>
      <c r="K498" s="11" t="s">
        <v>1914</v>
      </c>
      <c r="L498" s="18">
        <f t="shared" si="14"/>
        <v>1.2999999999999999E-2</v>
      </c>
      <c r="M498" s="15" t="str">
        <f t="shared" si="15"/>
        <v>3</v>
      </c>
    </row>
    <row r="499" spans="1:13" ht="56.25" customHeight="1" x14ac:dyDescent="0.3">
      <c r="A499" s="5">
        <v>497</v>
      </c>
      <c r="B499" s="5" t="s">
        <v>1777</v>
      </c>
      <c r="C499" s="5" t="s">
        <v>1915</v>
      </c>
      <c r="D499" s="6">
        <v>0.86</v>
      </c>
      <c r="H499" s="10" t="s">
        <v>1910</v>
      </c>
      <c r="I499" s="11" t="s">
        <v>1911</v>
      </c>
      <c r="J499" s="10" t="s">
        <v>1916</v>
      </c>
      <c r="K499" s="11" t="s">
        <v>1917</v>
      </c>
      <c r="L499" s="18">
        <f t="shared" si="14"/>
        <v>0.98</v>
      </c>
      <c r="M499" s="15" t="str">
        <f t="shared" si="15"/>
        <v>3</v>
      </c>
    </row>
    <row r="500" spans="1:13" ht="56.25" customHeight="1" x14ac:dyDescent="0.3">
      <c r="A500" s="7">
        <v>498</v>
      </c>
      <c r="B500" s="7" t="s">
        <v>1918</v>
      </c>
      <c r="C500" s="7" t="s">
        <v>1919</v>
      </c>
      <c r="D500" s="8">
        <v>0.86</v>
      </c>
      <c r="H500" s="10" t="s">
        <v>1920</v>
      </c>
      <c r="I500" s="11" t="s">
        <v>1921</v>
      </c>
      <c r="J500" s="10" t="s">
        <v>742</v>
      </c>
      <c r="K500" s="11" t="s">
        <v>874</v>
      </c>
      <c r="L500" s="18">
        <f t="shared" si="14"/>
        <v>0.13</v>
      </c>
      <c r="M500" s="15" t="str">
        <f t="shared" si="15"/>
        <v>3</v>
      </c>
    </row>
    <row r="501" spans="1:13" ht="56.25" customHeight="1" x14ac:dyDescent="0.3">
      <c r="A501" s="5">
        <v>499</v>
      </c>
      <c r="B501" s="5" t="s">
        <v>1922</v>
      </c>
      <c r="C501" s="5" t="s">
        <v>1923</v>
      </c>
      <c r="D501" s="6">
        <v>0.86</v>
      </c>
      <c r="H501" s="10" t="s">
        <v>1920</v>
      </c>
      <c r="I501" s="11" t="s">
        <v>1921</v>
      </c>
      <c r="J501" s="10" t="s">
        <v>148</v>
      </c>
      <c r="K501" s="11" t="s">
        <v>1924</v>
      </c>
      <c r="L501" s="18">
        <f t="shared" si="14"/>
        <v>7.1000000000000004E-3</v>
      </c>
      <c r="M501" s="15" t="str">
        <f t="shared" si="15"/>
        <v>3</v>
      </c>
    </row>
    <row r="502" spans="1:13" ht="56.25" customHeight="1" x14ac:dyDescent="0.3">
      <c r="A502" s="7">
        <v>500</v>
      </c>
      <c r="B502" s="7" t="s">
        <v>1925</v>
      </c>
      <c r="C502" s="7" t="s">
        <v>1926</v>
      </c>
      <c r="D502" s="8">
        <v>0.86</v>
      </c>
      <c r="H502" s="11" t="s">
        <v>1920</v>
      </c>
      <c r="I502" s="11" t="s">
        <v>1921</v>
      </c>
      <c r="J502" s="11" t="s">
        <v>639</v>
      </c>
      <c r="K502" s="11" t="s">
        <v>1927</v>
      </c>
      <c r="L502" s="18">
        <f t="shared" si="14"/>
        <v>7.5999999999999998E-2</v>
      </c>
      <c r="M502" s="15" t="str">
        <f t="shared" si="15"/>
        <v>3</v>
      </c>
    </row>
    <row r="503" spans="1:13" ht="56.25" customHeight="1" x14ac:dyDescent="0.3">
      <c r="A503" s="5">
        <v>501</v>
      </c>
      <c r="B503" s="5" t="s">
        <v>1928</v>
      </c>
      <c r="C503" s="5" t="s">
        <v>1929</v>
      </c>
      <c r="D503" s="6">
        <v>0.87</v>
      </c>
      <c r="H503" s="10" t="s">
        <v>1920</v>
      </c>
      <c r="I503" s="11" t="s">
        <v>1921</v>
      </c>
      <c r="J503" s="10" t="s">
        <v>664</v>
      </c>
      <c r="K503" s="11" t="s">
        <v>1930</v>
      </c>
      <c r="L503" s="18">
        <f t="shared" si="14"/>
        <v>8.5000000000000006E-2</v>
      </c>
      <c r="M503" s="15" t="str">
        <f t="shared" si="15"/>
        <v>3</v>
      </c>
    </row>
    <row r="504" spans="1:13" ht="56.25" customHeight="1" x14ac:dyDescent="0.3">
      <c r="A504" s="7">
        <v>502</v>
      </c>
      <c r="B504" s="7" t="s">
        <v>1931</v>
      </c>
      <c r="C504" s="7" t="s">
        <v>1932</v>
      </c>
      <c r="D504" s="8">
        <v>0.87</v>
      </c>
      <c r="H504" s="10" t="s">
        <v>1933</v>
      </c>
      <c r="I504" s="11" t="s">
        <v>388</v>
      </c>
      <c r="J504" s="10" t="s">
        <v>387</v>
      </c>
      <c r="K504" s="11" t="s">
        <v>388</v>
      </c>
      <c r="L504" s="18">
        <f t="shared" si="14"/>
        <v>2.1000000000000001E-2</v>
      </c>
      <c r="M504" s="15" t="str">
        <f t="shared" si="15"/>
        <v>3</v>
      </c>
    </row>
    <row r="505" spans="1:13" ht="56.25" customHeight="1" x14ac:dyDescent="0.3">
      <c r="A505" s="5">
        <v>503</v>
      </c>
      <c r="B505" s="5" t="s">
        <v>1934</v>
      </c>
      <c r="C505" s="5" t="s">
        <v>1935</v>
      </c>
      <c r="D505" s="6">
        <v>0.87</v>
      </c>
      <c r="H505" s="10" t="s">
        <v>1936</v>
      </c>
      <c r="I505" s="11" t="s">
        <v>1937</v>
      </c>
      <c r="J505" s="10" t="s">
        <v>394</v>
      </c>
      <c r="K505" s="11" t="s">
        <v>1938</v>
      </c>
      <c r="L505" s="18">
        <f t="shared" si="14"/>
        <v>2.1999999999999999E-2</v>
      </c>
      <c r="M505" s="15" t="str">
        <f t="shared" si="15"/>
        <v>3</v>
      </c>
    </row>
    <row r="506" spans="1:13" ht="56.25" customHeight="1" x14ac:dyDescent="0.3">
      <c r="A506" s="7">
        <v>504</v>
      </c>
      <c r="B506" s="7" t="s">
        <v>1939</v>
      </c>
      <c r="C506" s="7" t="s">
        <v>1940</v>
      </c>
      <c r="D506" s="8">
        <v>0.87</v>
      </c>
      <c r="H506" s="10" t="s">
        <v>1936</v>
      </c>
      <c r="I506" s="11" t="s">
        <v>1937</v>
      </c>
      <c r="J506" s="10" t="s">
        <v>1143</v>
      </c>
      <c r="K506" s="11" t="s">
        <v>1941</v>
      </c>
      <c r="L506" s="18">
        <f t="shared" si="14"/>
        <v>0.48</v>
      </c>
      <c r="M506" s="15" t="str">
        <f t="shared" si="15"/>
        <v>3</v>
      </c>
    </row>
    <row r="507" spans="1:13" ht="56.25" customHeight="1" x14ac:dyDescent="0.3">
      <c r="A507" s="5">
        <v>505</v>
      </c>
      <c r="B507" s="5" t="s">
        <v>1942</v>
      </c>
      <c r="C507" s="5" t="s">
        <v>1943</v>
      </c>
      <c r="D507" s="6">
        <v>0.87</v>
      </c>
      <c r="H507" s="10" t="s">
        <v>1936</v>
      </c>
      <c r="I507" s="11" t="s">
        <v>1937</v>
      </c>
      <c r="J507" s="10" t="s">
        <v>115</v>
      </c>
      <c r="K507" s="11" t="s">
        <v>1944</v>
      </c>
      <c r="L507" s="18">
        <f t="shared" si="14"/>
        <v>5.4999999999999997E-3</v>
      </c>
      <c r="M507" s="15" t="str">
        <f t="shared" si="15"/>
        <v>3</v>
      </c>
    </row>
    <row r="508" spans="1:13" ht="56.25" customHeight="1" x14ac:dyDescent="0.3">
      <c r="A508" s="7">
        <v>506</v>
      </c>
      <c r="B508" s="7" t="s">
        <v>1725</v>
      </c>
      <c r="C508" s="7" t="s">
        <v>1945</v>
      </c>
      <c r="D508" s="8">
        <v>0.87</v>
      </c>
      <c r="H508" s="10" t="s">
        <v>1946</v>
      </c>
      <c r="I508" s="11" t="s">
        <v>1947</v>
      </c>
      <c r="J508" s="10" t="s">
        <v>1272</v>
      </c>
      <c r="K508" s="11" t="s">
        <v>1948</v>
      </c>
      <c r="L508" s="18">
        <f t="shared" si="14"/>
        <v>0.59</v>
      </c>
      <c r="M508" s="15" t="str">
        <f t="shared" si="15"/>
        <v>3</v>
      </c>
    </row>
    <row r="509" spans="1:13" ht="56.25" customHeight="1" x14ac:dyDescent="0.3">
      <c r="A509" s="5">
        <v>507</v>
      </c>
      <c r="B509" s="5" t="s">
        <v>1949</v>
      </c>
      <c r="C509" s="5" t="s">
        <v>1950</v>
      </c>
      <c r="D509" s="6">
        <v>0.87</v>
      </c>
      <c r="H509" s="10" t="s">
        <v>1946</v>
      </c>
      <c r="I509" s="11" t="s">
        <v>1947</v>
      </c>
      <c r="J509" s="10" t="s">
        <v>1951</v>
      </c>
      <c r="K509" s="11" t="s">
        <v>1952</v>
      </c>
      <c r="L509" s="18">
        <f t="shared" si="14"/>
        <v>0.99</v>
      </c>
      <c r="M509" s="15" t="str">
        <f t="shared" si="15"/>
        <v>3</v>
      </c>
    </row>
    <row r="510" spans="1:13" ht="56.25" customHeight="1" x14ac:dyDescent="0.3">
      <c r="A510" s="7">
        <v>508</v>
      </c>
      <c r="B510" s="7" t="s">
        <v>1953</v>
      </c>
      <c r="C510" s="7" t="s">
        <v>1954</v>
      </c>
      <c r="D510" s="8">
        <v>0.87</v>
      </c>
      <c r="H510" s="10" t="s">
        <v>1946</v>
      </c>
      <c r="I510" s="11" t="s">
        <v>1947</v>
      </c>
      <c r="J510" s="10" t="s">
        <v>476</v>
      </c>
      <c r="K510" s="11" t="s">
        <v>1190</v>
      </c>
      <c r="L510" s="18">
        <f t="shared" si="14"/>
        <v>3.5000000000000003E-2</v>
      </c>
      <c r="M510" s="15" t="str">
        <f t="shared" si="15"/>
        <v>3</v>
      </c>
    </row>
    <row r="511" spans="1:13" ht="56.25" customHeight="1" x14ac:dyDescent="0.3">
      <c r="A511" s="5">
        <v>509</v>
      </c>
      <c r="B511" s="5" t="s">
        <v>1955</v>
      </c>
      <c r="C511" s="5" t="s">
        <v>1956</v>
      </c>
      <c r="D511" s="6">
        <v>0.87</v>
      </c>
      <c r="H511" s="10" t="s">
        <v>1957</v>
      </c>
      <c r="I511" s="11" t="s">
        <v>1958</v>
      </c>
      <c r="J511" s="10" t="s">
        <v>679</v>
      </c>
      <c r="K511" s="11" t="s">
        <v>1959</v>
      </c>
      <c r="L511" s="18">
        <f t="shared" si="14"/>
        <v>0.1</v>
      </c>
      <c r="M511" s="15" t="str">
        <f t="shared" si="15"/>
        <v>3</v>
      </c>
    </row>
    <row r="512" spans="1:13" ht="56.25" customHeight="1" x14ac:dyDescent="0.3">
      <c r="A512" s="7">
        <v>510</v>
      </c>
      <c r="B512" s="7" t="s">
        <v>1960</v>
      </c>
      <c r="C512" s="7" t="s">
        <v>1961</v>
      </c>
      <c r="D512" s="8">
        <v>0.87</v>
      </c>
      <c r="H512" s="10" t="s">
        <v>1957</v>
      </c>
      <c r="I512" s="11" t="s">
        <v>1958</v>
      </c>
      <c r="J512" s="10" t="s">
        <v>1346</v>
      </c>
      <c r="K512" s="11" t="s">
        <v>1962</v>
      </c>
      <c r="L512" s="18">
        <f t="shared" si="14"/>
        <v>0.63</v>
      </c>
      <c r="M512" s="15" t="str">
        <f t="shared" si="15"/>
        <v>3</v>
      </c>
    </row>
    <row r="513" spans="1:13" ht="56.25" customHeight="1" x14ac:dyDescent="0.3">
      <c r="A513" s="5">
        <v>511</v>
      </c>
      <c r="B513" s="5" t="s">
        <v>1963</v>
      </c>
      <c r="C513" s="5" t="s">
        <v>1964</v>
      </c>
      <c r="D513" s="6">
        <v>0.87</v>
      </c>
      <c r="H513" s="10" t="s">
        <v>1965</v>
      </c>
      <c r="I513" s="11" t="s">
        <v>1966</v>
      </c>
      <c r="J513" s="10" t="s">
        <v>1967</v>
      </c>
      <c r="K513" s="11" t="s">
        <v>1968</v>
      </c>
      <c r="L513" s="18" t="str">
        <f t="shared" si="14"/>
        <v/>
      </c>
      <c r="M513" s="15" t="str">
        <f t="shared" si="15"/>
        <v>3</v>
      </c>
    </row>
    <row r="514" spans="1:13" ht="56.25" customHeight="1" x14ac:dyDescent="0.3">
      <c r="A514" s="7">
        <v>512</v>
      </c>
      <c r="B514" s="7" t="s">
        <v>1969</v>
      </c>
      <c r="C514" s="7" t="s">
        <v>1970</v>
      </c>
      <c r="D514" s="8">
        <v>0.88</v>
      </c>
      <c r="H514" s="10" t="s">
        <v>1965</v>
      </c>
      <c r="I514" s="11" t="s">
        <v>1966</v>
      </c>
      <c r="J514" s="10" t="s">
        <v>1238</v>
      </c>
      <c r="K514" s="11" t="s">
        <v>1239</v>
      </c>
      <c r="L514" s="18" t="str">
        <f t="shared" si="14"/>
        <v/>
      </c>
      <c r="M514" s="15" t="str">
        <f t="shared" si="15"/>
        <v>3</v>
      </c>
    </row>
    <row r="515" spans="1:13" ht="56.25" customHeight="1" x14ac:dyDescent="0.3">
      <c r="A515" s="5">
        <v>513</v>
      </c>
      <c r="B515" s="5" t="s">
        <v>1971</v>
      </c>
      <c r="C515" s="5" t="s">
        <v>1972</v>
      </c>
      <c r="D515" s="6">
        <v>0.88</v>
      </c>
      <c r="H515" s="10" t="s">
        <v>1965</v>
      </c>
      <c r="I515" s="11" t="s">
        <v>1966</v>
      </c>
      <c r="J515" s="10" t="s">
        <v>1973</v>
      </c>
      <c r="K515" s="11" t="s">
        <v>1974</v>
      </c>
      <c r="L515" s="18" t="str">
        <f t="shared" ref="L515:L578" si="16">IFERROR(INDEX($D$3:$D$704,MATCH(TRIM(J515),$B$3:$B$704,0)),"")</f>
        <v/>
      </c>
      <c r="M515" s="15" t="str">
        <f t="shared" ref="M515:M578" si="17">LEFT(TEXT(H515,"0000")*0.1)</f>
        <v>3</v>
      </c>
    </row>
    <row r="516" spans="1:13" ht="56.25" customHeight="1" x14ac:dyDescent="0.3">
      <c r="A516" s="7">
        <v>514</v>
      </c>
      <c r="B516" s="7" t="s">
        <v>1975</v>
      </c>
      <c r="C516" s="7" t="s">
        <v>1976</v>
      </c>
      <c r="D516" s="8">
        <v>0.88</v>
      </c>
      <c r="H516" s="11" t="s">
        <v>1965</v>
      </c>
      <c r="I516" s="11" t="s">
        <v>1966</v>
      </c>
      <c r="J516" s="11" t="s">
        <v>1977</v>
      </c>
      <c r="K516" s="11" t="s">
        <v>1978</v>
      </c>
      <c r="L516" s="18" t="str">
        <f t="shared" si="16"/>
        <v/>
      </c>
      <c r="M516" s="15" t="str">
        <f t="shared" si="17"/>
        <v>3</v>
      </c>
    </row>
    <row r="517" spans="1:13" ht="56.25" customHeight="1" x14ac:dyDescent="0.3">
      <c r="A517" s="5">
        <v>515</v>
      </c>
      <c r="B517" s="5" t="s">
        <v>529</v>
      </c>
      <c r="C517" s="5" t="s">
        <v>1979</v>
      </c>
      <c r="D517" s="6">
        <v>0.88</v>
      </c>
      <c r="H517" s="10" t="s">
        <v>1965</v>
      </c>
      <c r="I517" s="11" t="s">
        <v>1966</v>
      </c>
      <c r="J517" s="10" t="s">
        <v>1307</v>
      </c>
      <c r="K517" s="11" t="s">
        <v>1980</v>
      </c>
      <c r="L517" s="18">
        <f t="shared" si="16"/>
        <v>0.61</v>
      </c>
      <c r="M517" s="15" t="str">
        <f t="shared" si="17"/>
        <v>3</v>
      </c>
    </row>
    <row r="518" spans="1:13" ht="56.25" customHeight="1" x14ac:dyDescent="0.3">
      <c r="A518" s="7">
        <v>516</v>
      </c>
      <c r="B518" s="7" t="s">
        <v>1419</v>
      </c>
      <c r="C518" s="7" t="s">
        <v>1981</v>
      </c>
      <c r="D518" s="8">
        <v>0.88</v>
      </c>
      <c r="H518" s="10" t="s">
        <v>1965</v>
      </c>
      <c r="I518" s="11" t="s">
        <v>1966</v>
      </c>
      <c r="J518" s="10" t="s">
        <v>1982</v>
      </c>
      <c r="K518" s="11" t="s">
        <v>1983</v>
      </c>
      <c r="L518" s="18" t="str">
        <f t="shared" si="16"/>
        <v/>
      </c>
      <c r="M518" s="15" t="str">
        <f t="shared" si="17"/>
        <v>3</v>
      </c>
    </row>
    <row r="519" spans="1:13" ht="56.25" customHeight="1" x14ac:dyDescent="0.3">
      <c r="A519" s="5">
        <v>517</v>
      </c>
      <c r="B519" s="5" t="s">
        <v>1984</v>
      </c>
      <c r="C519" s="5" t="s">
        <v>1985</v>
      </c>
      <c r="D519" s="6">
        <v>0.88</v>
      </c>
      <c r="H519" s="10" t="s">
        <v>1986</v>
      </c>
      <c r="I519" s="11" t="s">
        <v>1987</v>
      </c>
      <c r="J519" s="10" t="s">
        <v>1652</v>
      </c>
      <c r="K519" s="11" t="s">
        <v>1988</v>
      </c>
      <c r="L519" s="18">
        <f t="shared" si="16"/>
        <v>0.78</v>
      </c>
      <c r="M519" s="15" t="str">
        <f t="shared" si="17"/>
        <v>3</v>
      </c>
    </row>
    <row r="520" spans="1:13" ht="56.25" customHeight="1" x14ac:dyDescent="0.3">
      <c r="A520" s="7">
        <v>518</v>
      </c>
      <c r="B520" s="7" t="s">
        <v>1989</v>
      </c>
      <c r="C520" s="7" t="s">
        <v>1990</v>
      </c>
      <c r="D520" s="8">
        <v>0.88</v>
      </c>
      <c r="H520" s="10" t="s">
        <v>1991</v>
      </c>
      <c r="I520" s="11" t="s">
        <v>1992</v>
      </c>
      <c r="J520" s="10" t="s">
        <v>1993</v>
      </c>
      <c r="K520" s="11" t="s">
        <v>1994</v>
      </c>
      <c r="L520" s="18" t="str">
        <f t="shared" si="16"/>
        <v/>
      </c>
      <c r="M520" s="15" t="str">
        <f t="shared" si="17"/>
        <v>3</v>
      </c>
    </row>
    <row r="521" spans="1:13" ht="56.25" customHeight="1" x14ac:dyDescent="0.3">
      <c r="A521" s="5">
        <v>519</v>
      </c>
      <c r="B521" s="5" t="s">
        <v>1995</v>
      </c>
      <c r="C521" s="5" t="s">
        <v>1996</v>
      </c>
      <c r="D521" s="6">
        <v>0.88</v>
      </c>
      <c r="H521" s="10" t="s">
        <v>1997</v>
      </c>
      <c r="I521" s="11" t="s">
        <v>1998</v>
      </c>
      <c r="J521" s="10" t="s">
        <v>1999</v>
      </c>
      <c r="K521" s="11" t="s">
        <v>2000</v>
      </c>
      <c r="L521" s="18" t="str">
        <f t="shared" si="16"/>
        <v/>
      </c>
      <c r="M521" s="15" t="str">
        <f t="shared" si="17"/>
        <v>3</v>
      </c>
    </row>
    <row r="522" spans="1:13" ht="56.25" customHeight="1" x14ac:dyDescent="0.3">
      <c r="A522" s="7">
        <v>520</v>
      </c>
      <c r="B522" s="7" t="s">
        <v>2001</v>
      </c>
      <c r="C522" s="7" t="s">
        <v>2002</v>
      </c>
      <c r="D522" s="8">
        <v>0.88</v>
      </c>
      <c r="H522" s="10" t="s">
        <v>2003</v>
      </c>
      <c r="I522" s="11" t="s">
        <v>2004</v>
      </c>
      <c r="J522" s="10" t="s">
        <v>1018</v>
      </c>
      <c r="K522" s="11" t="s">
        <v>1019</v>
      </c>
      <c r="L522" s="18" t="str">
        <f t="shared" si="16"/>
        <v/>
      </c>
      <c r="M522" s="15" t="str">
        <f t="shared" si="17"/>
        <v>3</v>
      </c>
    </row>
    <row r="523" spans="1:13" ht="56.25" customHeight="1" x14ac:dyDescent="0.3">
      <c r="A523" s="5">
        <v>521</v>
      </c>
      <c r="B523" s="5" t="s">
        <v>2005</v>
      </c>
      <c r="C523" s="5" t="s">
        <v>2006</v>
      </c>
      <c r="D523" s="6">
        <v>0.88</v>
      </c>
      <c r="H523" s="10" t="s">
        <v>2003</v>
      </c>
      <c r="I523" s="11" t="s">
        <v>2004</v>
      </c>
      <c r="J523" s="10" t="s">
        <v>452</v>
      </c>
      <c r="K523" s="11" t="s">
        <v>1039</v>
      </c>
      <c r="L523" s="18">
        <f t="shared" si="16"/>
        <v>0.03</v>
      </c>
      <c r="M523" s="15" t="str">
        <f t="shared" si="17"/>
        <v>3</v>
      </c>
    </row>
    <row r="524" spans="1:13" ht="56.25" customHeight="1" x14ac:dyDescent="0.3">
      <c r="A524" s="7">
        <v>522</v>
      </c>
      <c r="B524" s="7" t="s">
        <v>2007</v>
      </c>
      <c r="C524" s="7" t="s">
        <v>2008</v>
      </c>
      <c r="D524" s="8">
        <v>0.89</v>
      </c>
      <c r="H524" s="10" t="s">
        <v>2009</v>
      </c>
      <c r="I524" s="11" t="s">
        <v>2010</v>
      </c>
      <c r="J524" s="10" t="s">
        <v>1231</v>
      </c>
      <c r="K524" s="11" t="s">
        <v>2011</v>
      </c>
      <c r="L524" s="18">
        <f t="shared" si="16"/>
        <v>0.55000000000000004</v>
      </c>
      <c r="M524" s="15" t="str">
        <f t="shared" si="17"/>
        <v>3</v>
      </c>
    </row>
    <row r="525" spans="1:13" ht="56.25" customHeight="1" x14ac:dyDescent="0.3">
      <c r="A525" s="5">
        <v>523</v>
      </c>
      <c r="B525" s="5" t="s">
        <v>1827</v>
      </c>
      <c r="C525" s="5" t="s">
        <v>2012</v>
      </c>
      <c r="D525" s="6">
        <v>0.89</v>
      </c>
      <c r="H525" s="10" t="s">
        <v>2009</v>
      </c>
      <c r="I525" s="11" t="s">
        <v>2010</v>
      </c>
      <c r="J525" s="10" t="s">
        <v>1584</v>
      </c>
      <c r="K525" s="11" t="s">
        <v>2013</v>
      </c>
      <c r="L525" s="18">
        <f t="shared" si="16"/>
        <v>0.74</v>
      </c>
      <c r="M525" s="15" t="str">
        <f t="shared" si="17"/>
        <v>3</v>
      </c>
    </row>
    <row r="526" spans="1:13" ht="56.25" customHeight="1" x14ac:dyDescent="0.3">
      <c r="A526" s="7">
        <v>524</v>
      </c>
      <c r="B526" s="7" t="s">
        <v>2014</v>
      </c>
      <c r="C526" s="7" t="s">
        <v>2015</v>
      </c>
      <c r="D526" s="8">
        <v>0.89</v>
      </c>
      <c r="H526" s="10" t="s">
        <v>2009</v>
      </c>
      <c r="I526" s="11" t="s">
        <v>2010</v>
      </c>
      <c r="J526" s="10" t="s">
        <v>2016</v>
      </c>
      <c r="K526" s="11" t="s">
        <v>2017</v>
      </c>
      <c r="L526" s="18">
        <f t="shared" si="16"/>
        <v>0.98</v>
      </c>
      <c r="M526" s="15" t="str">
        <f t="shared" si="17"/>
        <v>3</v>
      </c>
    </row>
    <row r="527" spans="1:13" ht="56.25" customHeight="1" x14ac:dyDescent="0.3">
      <c r="A527" s="5">
        <v>525</v>
      </c>
      <c r="B527" s="5" t="s">
        <v>2018</v>
      </c>
      <c r="C527" s="5" t="s">
        <v>2019</v>
      </c>
      <c r="D527" s="6">
        <v>0.89</v>
      </c>
      <c r="H527" s="10" t="s">
        <v>2009</v>
      </c>
      <c r="I527" s="11" t="s">
        <v>2010</v>
      </c>
      <c r="J527" s="10" t="s">
        <v>746</v>
      </c>
      <c r="K527" s="11" t="s">
        <v>2020</v>
      </c>
      <c r="L527" s="18">
        <f t="shared" si="16"/>
        <v>0.13</v>
      </c>
      <c r="M527" s="15" t="str">
        <f t="shared" si="17"/>
        <v>3</v>
      </c>
    </row>
    <row r="528" spans="1:13" ht="56.25" customHeight="1" x14ac:dyDescent="0.3">
      <c r="A528" s="7">
        <v>526</v>
      </c>
      <c r="B528" s="7" t="s">
        <v>1168</v>
      </c>
      <c r="C528" s="7" t="s">
        <v>2021</v>
      </c>
      <c r="D528" s="8">
        <v>0.89</v>
      </c>
      <c r="H528" s="10" t="s">
        <v>2009</v>
      </c>
      <c r="I528" s="11" t="s">
        <v>2010</v>
      </c>
      <c r="J528" s="10" t="s">
        <v>1294</v>
      </c>
      <c r="K528" s="11" t="s">
        <v>2022</v>
      </c>
      <c r="L528" s="18">
        <f t="shared" si="16"/>
        <v>0.6</v>
      </c>
      <c r="M528" s="15" t="str">
        <f t="shared" si="17"/>
        <v>3</v>
      </c>
    </row>
    <row r="529" spans="1:13" ht="56.25" customHeight="1" x14ac:dyDescent="0.3">
      <c r="A529" s="5">
        <v>527</v>
      </c>
      <c r="B529" s="5" t="s">
        <v>2023</v>
      </c>
      <c r="C529" s="5" t="s">
        <v>2024</v>
      </c>
      <c r="D529" s="6">
        <v>0.89</v>
      </c>
      <c r="H529" s="11" t="s">
        <v>2009</v>
      </c>
      <c r="I529" s="11" t="s">
        <v>2010</v>
      </c>
      <c r="J529" s="11" t="s">
        <v>1977</v>
      </c>
      <c r="K529" s="11" t="s">
        <v>1978</v>
      </c>
      <c r="L529" s="18" t="str">
        <f t="shared" si="16"/>
        <v/>
      </c>
      <c r="M529" s="15" t="str">
        <f t="shared" si="17"/>
        <v>3</v>
      </c>
    </row>
    <row r="530" spans="1:13" ht="56.25" customHeight="1" x14ac:dyDescent="0.3">
      <c r="A530" s="7">
        <v>528</v>
      </c>
      <c r="B530" s="7" t="s">
        <v>2025</v>
      </c>
      <c r="C530" s="7" t="s">
        <v>2026</v>
      </c>
      <c r="D530" s="8">
        <v>0.89</v>
      </c>
      <c r="H530" s="11" t="s">
        <v>2027</v>
      </c>
      <c r="I530" s="11" t="s">
        <v>2028</v>
      </c>
      <c r="J530" s="11" t="s">
        <v>1276</v>
      </c>
      <c r="K530" s="11" t="s">
        <v>1277</v>
      </c>
      <c r="L530" s="18">
        <f t="shared" si="16"/>
        <v>0.84</v>
      </c>
      <c r="M530" s="15" t="str">
        <f t="shared" si="17"/>
        <v>3</v>
      </c>
    </row>
    <row r="531" spans="1:13" ht="56.25" customHeight="1" x14ac:dyDescent="0.3">
      <c r="A531" s="5">
        <v>529</v>
      </c>
      <c r="B531" s="5" t="s">
        <v>2029</v>
      </c>
      <c r="C531" s="5" t="s">
        <v>2030</v>
      </c>
      <c r="D531" s="6">
        <v>0.89</v>
      </c>
      <c r="H531" s="10" t="s">
        <v>2031</v>
      </c>
      <c r="I531" s="11" t="s">
        <v>2032</v>
      </c>
      <c r="J531" s="10" t="s">
        <v>2033</v>
      </c>
      <c r="K531" s="11" t="s">
        <v>2034</v>
      </c>
      <c r="L531" s="18">
        <f t="shared" si="16"/>
        <v>0.98</v>
      </c>
      <c r="M531" s="15" t="str">
        <f t="shared" si="17"/>
        <v>4</v>
      </c>
    </row>
    <row r="532" spans="1:13" ht="56.25" customHeight="1" x14ac:dyDescent="0.3">
      <c r="A532" s="7">
        <v>530</v>
      </c>
      <c r="B532" s="7" t="s">
        <v>2035</v>
      </c>
      <c r="C532" s="7" t="s">
        <v>2036</v>
      </c>
      <c r="D532" s="8">
        <v>0.89</v>
      </c>
      <c r="H532" s="10" t="s">
        <v>2031</v>
      </c>
      <c r="I532" s="11" t="s">
        <v>2032</v>
      </c>
      <c r="J532" s="10" t="s">
        <v>2037</v>
      </c>
      <c r="K532" s="11" t="s">
        <v>2038</v>
      </c>
      <c r="L532" s="18">
        <f t="shared" si="16"/>
        <v>0.96</v>
      </c>
      <c r="M532" s="15" t="str">
        <f t="shared" si="17"/>
        <v>4</v>
      </c>
    </row>
    <row r="533" spans="1:13" ht="56.25" customHeight="1" x14ac:dyDescent="0.3">
      <c r="A533" s="5">
        <v>531</v>
      </c>
      <c r="B533" s="5" t="s">
        <v>2039</v>
      </c>
      <c r="C533" s="5" t="s">
        <v>2040</v>
      </c>
      <c r="D533" s="6">
        <v>0.89</v>
      </c>
      <c r="H533" s="10" t="s">
        <v>2041</v>
      </c>
      <c r="I533" s="11" t="s">
        <v>2042</v>
      </c>
      <c r="J533" s="10" t="s">
        <v>2043</v>
      </c>
      <c r="K533" s="13" t="s">
        <v>2044</v>
      </c>
      <c r="L533" s="18">
        <f t="shared" si="16"/>
        <v>0.96</v>
      </c>
      <c r="M533" s="15" t="str">
        <f t="shared" si="17"/>
        <v>4</v>
      </c>
    </row>
    <row r="534" spans="1:13" ht="56.25" customHeight="1" x14ac:dyDescent="0.3">
      <c r="A534" s="7">
        <v>532</v>
      </c>
      <c r="B534" s="7" t="s">
        <v>2045</v>
      </c>
      <c r="C534" s="7" t="s">
        <v>2046</v>
      </c>
      <c r="D534" s="8">
        <v>0.9</v>
      </c>
      <c r="H534" s="10" t="s">
        <v>2047</v>
      </c>
      <c r="I534" s="11" t="s">
        <v>2048</v>
      </c>
      <c r="J534" s="10" t="s">
        <v>1712</v>
      </c>
      <c r="K534" s="11" t="s">
        <v>2049</v>
      </c>
      <c r="L534" s="18">
        <f t="shared" si="16"/>
        <v>0.81</v>
      </c>
      <c r="M534" s="15" t="str">
        <f t="shared" si="17"/>
        <v>4</v>
      </c>
    </row>
    <row r="535" spans="1:13" ht="56.25" customHeight="1" x14ac:dyDescent="0.3">
      <c r="A535" s="5">
        <v>533</v>
      </c>
      <c r="B535" s="5" t="s">
        <v>1506</v>
      </c>
      <c r="C535" s="5" t="s">
        <v>2050</v>
      </c>
      <c r="D535" s="6">
        <v>0.9</v>
      </c>
      <c r="H535" s="9" t="s">
        <v>2051</v>
      </c>
      <c r="I535" s="13" t="s">
        <v>2052</v>
      </c>
      <c r="J535" s="10" t="s">
        <v>2053</v>
      </c>
      <c r="K535" s="11" t="s">
        <v>2054</v>
      </c>
      <c r="L535" s="18">
        <f t="shared" si="16"/>
        <v>0.99</v>
      </c>
      <c r="M535" s="15" t="str">
        <f t="shared" si="17"/>
        <v>4</v>
      </c>
    </row>
    <row r="536" spans="1:13" ht="56.25" customHeight="1" x14ac:dyDescent="0.3">
      <c r="A536" s="7">
        <v>534</v>
      </c>
      <c r="B536" s="7" t="s">
        <v>2055</v>
      </c>
      <c r="C536" s="7" t="s">
        <v>2056</v>
      </c>
      <c r="D536" s="8">
        <v>0.9</v>
      </c>
      <c r="H536" s="10" t="s">
        <v>2057</v>
      </c>
      <c r="I536" s="11" t="s">
        <v>2058</v>
      </c>
      <c r="J536" s="10" t="s">
        <v>2059</v>
      </c>
      <c r="K536" s="11" t="s">
        <v>2060</v>
      </c>
      <c r="L536" s="18">
        <f t="shared" si="16"/>
        <v>0.98</v>
      </c>
      <c r="M536" s="15" t="str">
        <f t="shared" si="17"/>
        <v>4</v>
      </c>
    </row>
    <row r="537" spans="1:13" ht="56.25" customHeight="1" x14ac:dyDescent="0.3">
      <c r="A537" s="5">
        <v>535</v>
      </c>
      <c r="B537" s="5" t="s">
        <v>2061</v>
      </c>
      <c r="C537" s="5" t="s">
        <v>2062</v>
      </c>
      <c r="D537" s="6">
        <v>0.9</v>
      </c>
      <c r="H537" s="10" t="s">
        <v>2057</v>
      </c>
      <c r="I537" s="11" t="s">
        <v>2058</v>
      </c>
      <c r="J537" s="10" t="s">
        <v>2063</v>
      </c>
      <c r="K537" s="11" t="s">
        <v>2064</v>
      </c>
      <c r="L537" s="18">
        <f t="shared" si="16"/>
        <v>0.95</v>
      </c>
      <c r="M537" s="15" t="str">
        <f t="shared" si="17"/>
        <v>4</v>
      </c>
    </row>
    <row r="538" spans="1:13" ht="56.25" customHeight="1" x14ac:dyDescent="0.3">
      <c r="A538" s="7">
        <v>536</v>
      </c>
      <c r="B538" s="7" t="s">
        <v>2065</v>
      </c>
      <c r="C538" s="7" t="s">
        <v>2066</v>
      </c>
      <c r="D538" s="8">
        <v>0.9</v>
      </c>
      <c r="H538" s="11" t="s">
        <v>2067</v>
      </c>
      <c r="I538" s="11" t="s">
        <v>2068</v>
      </c>
      <c r="J538" s="11" t="s">
        <v>926</v>
      </c>
      <c r="K538" s="11" t="s">
        <v>2069</v>
      </c>
      <c r="L538" s="18">
        <f t="shared" si="16"/>
        <v>0.28000000000000003</v>
      </c>
      <c r="M538" s="15" t="str">
        <f t="shared" si="17"/>
        <v>4</v>
      </c>
    </row>
    <row r="539" spans="1:13" ht="56.25" customHeight="1" x14ac:dyDescent="0.3">
      <c r="A539" s="5">
        <v>537</v>
      </c>
      <c r="B539" s="5" t="s">
        <v>1350</v>
      </c>
      <c r="C539" s="5" t="s">
        <v>2070</v>
      </c>
      <c r="D539" s="6">
        <v>0.9</v>
      </c>
      <c r="H539" s="11" t="s">
        <v>2067</v>
      </c>
      <c r="I539" s="11" t="s">
        <v>2068</v>
      </c>
      <c r="J539" s="11" t="s">
        <v>1208</v>
      </c>
      <c r="K539" s="11" t="s">
        <v>2071</v>
      </c>
      <c r="L539" s="18">
        <f t="shared" si="16"/>
        <v>0.54</v>
      </c>
      <c r="M539" s="15" t="str">
        <f t="shared" si="17"/>
        <v>4</v>
      </c>
    </row>
    <row r="540" spans="1:13" ht="56.25" customHeight="1" x14ac:dyDescent="0.3">
      <c r="A540" s="7">
        <v>538</v>
      </c>
      <c r="B540" s="7" t="s">
        <v>1608</v>
      </c>
      <c r="C540" s="7" t="s">
        <v>2072</v>
      </c>
      <c r="D540" s="8">
        <v>0.9</v>
      </c>
      <c r="H540" s="10" t="s">
        <v>2067</v>
      </c>
      <c r="I540" s="11" t="s">
        <v>2068</v>
      </c>
      <c r="J540" s="10" t="s">
        <v>2073</v>
      </c>
      <c r="K540" s="11" t="s">
        <v>2074</v>
      </c>
      <c r="L540" s="18">
        <f t="shared" si="16"/>
        <v>0.96</v>
      </c>
      <c r="M540" s="15" t="str">
        <f t="shared" si="17"/>
        <v>4</v>
      </c>
    </row>
    <row r="541" spans="1:13" ht="56.25" customHeight="1" x14ac:dyDescent="0.3">
      <c r="A541" s="5">
        <v>539</v>
      </c>
      <c r="B541" s="5" t="s">
        <v>2075</v>
      </c>
      <c r="C541" s="5" t="s">
        <v>2076</v>
      </c>
      <c r="D541" s="6">
        <v>0.9</v>
      </c>
      <c r="H541" s="10" t="s">
        <v>2067</v>
      </c>
      <c r="I541" s="11" t="s">
        <v>2068</v>
      </c>
      <c r="J541" s="10" t="s">
        <v>2077</v>
      </c>
      <c r="K541" s="11" t="s">
        <v>2078</v>
      </c>
      <c r="L541" s="18">
        <f t="shared" si="16"/>
        <v>0.91</v>
      </c>
      <c r="M541" s="15" t="str">
        <f t="shared" si="17"/>
        <v>4</v>
      </c>
    </row>
    <row r="542" spans="1:13" ht="56.25" customHeight="1" x14ac:dyDescent="0.3">
      <c r="A542" s="7">
        <v>540</v>
      </c>
      <c r="B542" s="7" t="s">
        <v>2079</v>
      </c>
      <c r="C542" s="7" t="s">
        <v>2080</v>
      </c>
      <c r="D542" s="8">
        <v>0.9</v>
      </c>
      <c r="H542" s="10" t="s">
        <v>2067</v>
      </c>
      <c r="I542" s="11" t="s">
        <v>2068</v>
      </c>
      <c r="J542" s="10" t="s">
        <v>2081</v>
      </c>
      <c r="K542" s="11" t="s">
        <v>2082</v>
      </c>
      <c r="L542" s="18" t="str">
        <f t="shared" si="16"/>
        <v/>
      </c>
      <c r="M542" s="15" t="str">
        <f t="shared" si="17"/>
        <v>4</v>
      </c>
    </row>
    <row r="543" spans="1:13" ht="56.25" customHeight="1" x14ac:dyDescent="0.3">
      <c r="A543" s="5">
        <v>541</v>
      </c>
      <c r="B543" s="5" t="s">
        <v>1694</v>
      </c>
      <c r="C543" s="5" t="s">
        <v>2083</v>
      </c>
      <c r="D543" s="6">
        <v>0.9</v>
      </c>
      <c r="H543" s="10" t="s">
        <v>2067</v>
      </c>
      <c r="I543" s="11" t="s">
        <v>2068</v>
      </c>
      <c r="J543" s="10" t="s">
        <v>1067</v>
      </c>
      <c r="K543" s="11" t="s">
        <v>2084</v>
      </c>
      <c r="L543" s="18">
        <f t="shared" si="16"/>
        <v>0.39</v>
      </c>
      <c r="M543" s="15" t="str">
        <f t="shared" si="17"/>
        <v>4</v>
      </c>
    </row>
    <row r="544" spans="1:13" ht="56.25" customHeight="1" x14ac:dyDescent="0.3">
      <c r="A544" s="7">
        <v>542</v>
      </c>
      <c r="B544" s="7" t="s">
        <v>1391</v>
      </c>
      <c r="C544" s="7" t="s">
        <v>2085</v>
      </c>
      <c r="D544" s="8">
        <v>0.9</v>
      </c>
      <c r="H544" s="10" t="s">
        <v>2086</v>
      </c>
      <c r="I544" s="11" t="s">
        <v>2087</v>
      </c>
      <c r="J544" s="10" t="s">
        <v>1802</v>
      </c>
      <c r="K544" s="11" t="s">
        <v>1803</v>
      </c>
      <c r="L544" s="18" t="str">
        <f t="shared" si="16"/>
        <v/>
      </c>
      <c r="M544" s="15" t="str">
        <f t="shared" si="17"/>
        <v>4</v>
      </c>
    </row>
    <row r="545" spans="1:13" ht="56.25" customHeight="1" x14ac:dyDescent="0.3">
      <c r="A545" s="5">
        <v>543</v>
      </c>
      <c r="B545" s="5" t="s">
        <v>2088</v>
      </c>
      <c r="C545" s="5" t="s">
        <v>2089</v>
      </c>
      <c r="D545" s="6">
        <v>0.9</v>
      </c>
      <c r="H545" s="10" t="s">
        <v>2086</v>
      </c>
      <c r="I545" s="11" t="s">
        <v>2087</v>
      </c>
      <c r="J545" s="10" t="s">
        <v>2090</v>
      </c>
      <c r="K545" s="11" t="s">
        <v>2091</v>
      </c>
      <c r="L545" s="18" t="str">
        <f t="shared" si="16"/>
        <v/>
      </c>
      <c r="M545" s="15" t="str">
        <f t="shared" si="17"/>
        <v>4</v>
      </c>
    </row>
    <row r="546" spans="1:13" ht="56.25" customHeight="1" x14ac:dyDescent="0.3">
      <c r="A546" s="7">
        <v>544</v>
      </c>
      <c r="B546" s="7" t="s">
        <v>2077</v>
      </c>
      <c r="C546" s="7" t="s">
        <v>2092</v>
      </c>
      <c r="D546" s="8">
        <v>0.91</v>
      </c>
      <c r="H546" s="10" t="s">
        <v>2093</v>
      </c>
      <c r="I546" s="11" t="s">
        <v>2094</v>
      </c>
      <c r="J546" s="10" t="s">
        <v>2095</v>
      </c>
      <c r="K546" s="11" t="s">
        <v>2096</v>
      </c>
      <c r="L546" s="18" t="str">
        <f t="shared" si="16"/>
        <v/>
      </c>
      <c r="M546" s="15" t="str">
        <f t="shared" si="17"/>
        <v>4</v>
      </c>
    </row>
    <row r="547" spans="1:13" ht="56.25" customHeight="1" x14ac:dyDescent="0.3">
      <c r="A547" s="5">
        <v>545</v>
      </c>
      <c r="B547" s="5" t="s">
        <v>2097</v>
      </c>
      <c r="C547" s="5" t="s">
        <v>2098</v>
      </c>
      <c r="D547" s="6">
        <v>0.91</v>
      </c>
      <c r="H547" s="11" t="s">
        <v>2093</v>
      </c>
      <c r="I547" s="11" t="s">
        <v>2094</v>
      </c>
      <c r="J547" s="11" t="s">
        <v>2099</v>
      </c>
      <c r="K547" s="11" t="s">
        <v>2100</v>
      </c>
      <c r="L547" s="18">
        <f t="shared" si="16"/>
        <v>0.95</v>
      </c>
      <c r="M547" s="15" t="str">
        <f t="shared" si="17"/>
        <v>4</v>
      </c>
    </row>
    <row r="548" spans="1:13" ht="56.25" customHeight="1" x14ac:dyDescent="0.3">
      <c r="A548" s="7">
        <v>546</v>
      </c>
      <c r="B548" s="7" t="s">
        <v>2101</v>
      </c>
      <c r="C548" s="7" t="s">
        <v>2102</v>
      </c>
      <c r="D548" s="8">
        <v>0.91</v>
      </c>
      <c r="H548" s="11" t="s">
        <v>2103</v>
      </c>
      <c r="I548" s="11" t="s">
        <v>2104</v>
      </c>
      <c r="J548" s="11" t="s">
        <v>634</v>
      </c>
      <c r="K548" s="11" t="s">
        <v>985</v>
      </c>
      <c r="L548" s="18">
        <f t="shared" si="16"/>
        <v>7.4999999999999997E-2</v>
      </c>
      <c r="M548" s="15" t="str">
        <f t="shared" si="17"/>
        <v>4</v>
      </c>
    </row>
    <row r="549" spans="1:13" ht="56.25" customHeight="1" x14ac:dyDescent="0.3">
      <c r="A549" s="5">
        <v>547</v>
      </c>
      <c r="B549" s="5" t="s">
        <v>2105</v>
      </c>
      <c r="C549" s="5" t="s">
        <v>2106</v>
      </c>
      <c r="D549" s="6">
        <v>0.91</v>
      </c>
      <c r="H549" s="10" t="s">
        <v>2103</v>
      </c>
      <c r="I549" s="11" t="s">
        <v>2104</v>
      </c>
      <c r="J549" s="10" t="s">
        <v>675</v>
      </c>
      <c r="K549" s="11" t="s">
        <v>1799</v>
      </c>
      <c r="L549" s="18">
        <f t="shared" si="16"/>
        <v>9.9000000000000005E-2</v>
      </c>
      <c r="M549" s="15" t="str">
        <f t="shared" si="17"/>
        <v>4</v>
      </c>
    </row>
    <row r="550" spans="1:13" ht="56.25" customHeight="1" x14ac:dyDescent="0.3">
      <c r="A550" s="7">
        <v>548</v>
      </c>
      <c r="B550" s="7" t="s">
        <v>2107</v>
      </c>
      <c r="C550" s="7" t="s">
        <v>2108</v>
      </c>
      <c r="D550" s="8">
        <v>0.91</v>
      </c>
      <c r="H550" s="10" t="s">
        <v>2103</v>
      </c>
      <c r="I550" s="11" t="s">
        <v>2104</v>
      </c>
      <c r="J550" s="10" t="s">
        <v>1315</v>
      </c>
      <c r="K550" s="11" t="s">
        <v>2109</v>
      </c>
      <c r="L550" s="18">
        <f t="shared" si="16"/>
        <v>0.61</v>
      </c>
      <c r="M550" s="15" t="str">
        <f t="shared" si="17"/>
        <v>4</v>
      </c>
    </row>
    <row r="551" spans="1:13" ht="56.25" customHeight="1" x14ac:dyDescent="0.3">
      <c r="A551" s="5">
        <v>549</v>
      </c>
      <c r="B551" s="5" t="s">
        <v>1411</v>
      </c>
      <c r="C551" s="5" t="s">
        <v>2110</v>
      </c>
      <c r="D551" s="6">
        <v>0.91</v>
      </c>
      <c r="H551" s="10" t="s">
        <v>2111</v>
      </c>
      <c r="I551" s="11" t="s">
        <v>2112</v>
      </c>
      <c r="J551" s="10" t="s">
        <v>1227</v>
      </c>
      <c r="K551" s="11" t="s">
        <v>2113</v>
      </c>
      <c r="L551" s="18">
        <f t="shared" si="16"/>
        <v>0.55000000000000004</v>
      </c>
      <c r="M551" s="15" t="str">
        <f t="shared" si="17"/>
        <v>4</v>
      </c>
    </row>
    <row r="552" spans="1:13" ht="56.25" customHeight="1" x14ac:dyDescent="0.3">
      <c r="A552" s="7">
        <v>550</v>
      </c>
      <c r="B552" s="7" t="s">
        <v>1567</v>
      </c>
      <c r="C552" s="7" t="s">
        <v>1566</v>
      </c>
      <c r="D552" s="8">
        <v>0.91</v>
      </c>
      <c r="H552" s="10" t="s">
        <v>2111</v>
      </c>
      <c r="I552" s="11" t="s">
        <v>2112</v>
      </c>
      <c r="J552" s="10" t="s">
        <v>2114</v>
      </c>
      <c r="K552" s="11" t="s">
        <v>2115</v>
      </c>
      <c r="L552" s="18">
        <f t="shared" si="16"/>
        <v>0.96</v>
      </c>
      <c r="M552" s="15" t="str">
        <f t="shared" si="17"/>
        <v>4</v>
      </c>
    </row>
    <row r="553" spans="1:13" ht="56.25" customHeight="1" x14ac:dyDescent="0.3">
      <c r="A553" s="5">
        <v>551</v>
      </c>
      <c r="B553" s="5" t="s">
        <v>2116</v>
      </c>
      <c r="C553" s="5" t="s">
        <v>2117</v>
      </c>
      <c r="D553" s="6">
        <v>0.91</v>
      </c>
      <c r="H553" s="10" t="s">
        <v>2118</v>
      </c>
      <c r="I553" s="11" t="s">
        <v>2119</v>
      </c>
      <c r="J553" s="10" t="s">
        <v>2120</v>
      </c>
      <c r="K553" s="11" t="s">
        <v>2121</v>
      </c>
      <c r="L553" s="18">
        <f t="shared" si="16"/>
        <v>0.96</v>
      </c>
      <c r="M553" s="15" t="str">
        <f t="shared" si="17"/>
        <v>4</v>
      </c>
    </row>
    <row r="554" spans="1:13" ht="56.25" customHeight="1" x14ac:dyDescent="0.3">
      <c r="A554" s="7">
        <v>552</v>
      </c>
      <c r="B554" s="7" t="s">
        <v>2122</v>
      </c>
      <c r="C554" s="7" t="s">
        <v>2123</v>
      </c>
      <c r="D554" s="8">
        <v>0.91</v>
      </c>
      <c r="H554" s="11" t="s">
        <v>2118</v>
      </c>
      <c r="I554" s="11" t="s">
        <v>2119</v>
      </c>
      <c r="J554" s="11" t="s">
        <v>2124</v>
      </c>
      <c r="K554" s="11" t="s">
        <v>2125</v>
      </c>
      <c r="L554" s="18">
        <f t="shared" si="16"/>
        <v>0.97</v>
      </c>
      <c r="M554" s="15" t="str">
        <f t="shared" si="17"/>
        <v>4</v>
      </c>
    </row>
    <row r="555" spans="1:13" ht="56.25" customHeight="1" x14ac:dyDescent="0.3">
      <c r="A555" s="5">
        <v>553</v>
      </c>
      <c r="B555" s="5" t="s">
        <v>2126</v>
      </c>
      <c r="C555" s="5" t="s">
        <v>2127</v>
      </c>
      <c r="D555" s="6">
        <v>0.91</v>
      </c>
      <c r="H555" s="10" t="s">
        <v>2128</v>
      </c>
      <c r="I555" s="11" t="s">
        <v>2129</v>
      </c>
      <c r="J555" s="10" t="s">
        <v>835</v>
      </c>
      <c r="K555" s="11" t="s">
        <v>836</v>
      </c>
      <c r="L555" s="18">
        <f t="shared" si="16"/>
        <v>0.21</v>
      </c>
      <c r="M555" s="15" t="str">
        <f t="shared" si="17"/>
        <v>4</v>
      </c>
    </row>
    <row r="556" spans="1:13" ht="56.25" customHeight="1" x14ac:dyDescent="0.3">
      <c r="A556" s="7">
        <v>554</v>
      </c>
      <c r="B556" s="7" t="s">
        <v>2130</v>
      </c>
      <c r="C556" s="7" t="s">
        <v>2131</v>
      </c>
      <c r="D556" s="8">
        <v>0.91</v>
      </c>
      <c r="H556" s="10" t="s">
        <v>2128</v>
      </c>
      <c r="I556" s="11" t="s">
        <v>2129</v>
      </c>
      <c r="J556" s="10" t="s">
        <v>2132</v>
      </c>
      <c r="K556" s="11" t="s">
        <v>2133</v>
      </c>
      <c r="L556" s="18">
        <f t="shared" si="16"/>
        <v>0.94</v>
      </c>
      <c r="M556" s="15" t="str">
        <f t="shared" si="17"/>
        <v>4</v>
      </c>
    </row>
    <row r="557" spans="1:13" ht="56.25" customHeight="1" x14ac:dyDescent="0.3">
      <c r="A557" s="5">
        <v>555</v>
      </c>
      <c r="B557" s="5" t="s">
        <v>2134</v>
      </c>
      <c r="C557" s="5" t="s">
        <v>2135</v>
      </c>
      <c r="D557" s="6">
        <v>0.91</v>
      </c>
      <c r="H557" s="10" t="s">
        <v>2136</v>
      </c>
      <c r="I557" s="11" t="s">
        <v>2137</v>
      </c>
      <c r="J557" s="10" t="s">
        <v>1925</v>
      </c>
      <c r="K557" s="11" t="s">
        <v>2138</v>
      </c>
      <c r="L557" s="18">
        <f t="shared" si="16"/>
        <v>0.86</v>
      </c>
      <c r="M557" s="15" t="str">
        <f t="shared" si="17"/>
        <v>4</v>
      </c>
    </row>
    <row r="558" spans="1:13" ht="56.25" customHeight="1" x14ac:dyDescent="0.3">
      <c r="A558" s="7">
        <v>556</v>
      </c>
      <c r="B558" s="7" t="s">
        <v>2139</v>
      </c>
      <c r="C558" s="7" t="s">
        <v>2140</v>
      </c>
      <c r="D558" s="8">
        <v>0.91</v>
      </c>
      <c r="H558" s="10" t="s">
        <v>2136</v>
      </c>
      <c r="I558" s="11" t="s">
        <v>2137</v>
      </c>
      <c r="J558" s="10" t="s">
        <v>2114</v>
      </c>
      <c r="K558" s="11" t="s">
        <v>2115</v>
      </c>
      <c r="L558" s="18">
        <f t="shared" si="16"/>
        <v>0.96</v>
      </c>
      <c r="M558" s="15" t="str">
        <f t="shared" si="17"/>
        <v>4</v>
      </c>
    </row>
    <row r="559" spans="1:13" ht="56.25" customHeight="1" x14ac:dyDescent="0.3">
      <c r="A559" s="5">
        <v>557</v>
      </c>
      <c r="B559" s="5" t="s">
        <v>1247</v>
      </c>
      <c r="C559" s="5" t="s">
        <v>2141</v>
      </c>
      <c r="D559" s="6">
        <v>0.91</v>
      </c>
      <c r="H559" s="10" t="s">
        <v>2142</v>
      </c>
      <c r="I559" s="11" t="s">
        <v>2143</v>
      </c>
      <c r="J559" s="10" t="s">
        <v>2114</v>
      </c>
      <c r="K559" s="11" t="s">
        <v>2115</v>
      </c>
      <c r="L559" s="18">
        <f t="shared" si="16"/>
        <v>0.96</v>
      </c>
      <c r="M559" s="15" t="str">
        <f t="shared" si="17"/>
        <v>4</v>
      </c>
    </row>
    <row r="560" spans="1:13" ht="56.25" customHeight="1" x14ac:dyDescent="0.3">
      <c r="A560" s="7">
        <v>558</v>
      </c>
      <c r="B560" s="7" t="s">
        <v>2144</v>
      </c>
      <c r="C560" s="7" t="s">
        <v>2145</v>
      </c>
      <c r="D560" s="8">
        <v>0.91</v>
      </c>
      <c r="H560" s="10" t="s">
        <v>2146</v>
      </c>
      <c r="I560" s="11" t="s">
        <v>2147</v>
      </c>
      <c r="J560" s="10" t="s">
        <v>2148</v>
      </c>
      <c r="K560" s="11" t="s">
        <v>2149</v>
      </c>
      <c r="L560" s="18">
        <f t="shared" si="16"/>
        <v>0.94</v>
      </c>
      <c r="M560" s="15" t="str">
        <f t="shared" si="17"/>
        <v>4</v>
      </c>
    </row>
    <row r="561" spans="1:13" ht="56.25" customHeight="1" x14ac:dyDescent="0.3">
      <c r="A561" s="5">
        <v>559</v>
      </c>
      <c r="B561" s="5" t="s">
        <v>2150</v>
      </c>
      <c r="C561" s="5" t="s">
        <v>2151</v>
      </c>
      <c r="D561" s="6">
        <v>0.91</v>
      </c>
      <c r="H561" s="11" t="s">
        <v>2152</v>
      </c>
      <c r="I561" s="11" t="s">
        <v>2153</v>
      </c>
      <c r="J561" s="11" t="s">
        <v>2154</v>
      </c>
      <c r="K561" s="11" t="s">
        <v>2155</v>
      </c>
      <c r="L561" s="18" t="str">
        <f t="shared" si="16"/>
        <v/>
      </c>
      <c r="M561" s="15" t="str">
        <f t="shared" si="17"/>
        <v>4</v>
      </c>
    </row>
    <row r="562" spans="1:13" ht="56.25" customHeight="1" x14ac:dyDescent="0.3">
      <c r="A562" s="7">
        <v>560</v>
      </c>
      <c r="B562" s="7" t="s">
        <v>2156</v>
      </c>
      <c r="C562" s="7" t="s">
        <v>2157</v>
      </c>
      <c r="D562" s="8">
        <v>0.91</v>
      </c>
      <c r="H562" s="10" t="s">
        <v>2152</v>
      </c>
      <c r="I562" s="11" t="s">
        <v>2153</v>
      </c>
      <c r="J562" s="10" t="s">
        <v>1481</v>
      </c>
      <c r="K562" s="11" t="s">
        <v>1854</v>
      </c>
      <c r="L562" s="18">
        <f t="shared" si="16"/>
        <v>0.7</v>
      </c>
      <c r="M562" s="15" t="str">
        <f t="shared" si="17"/>
        <v>4</v>
      </c>
    </row>
    <row r="563" spans="1:13" ht="56.25" customHeight="1" x14ac:dyDescent="0.3">
      <c r="A563" s="5">
        <v>561</v>
      </c>
      <c r="B563" s="5" t="s">
        <v>2158</v>
      </c>
      <c r="C563" s="5" t="s">
        <v>2159</v>
      </c>
      <c r="D563" s="6">
        <v>0.92</v>
      </c>
      <c r="H563" s="10" t="s">
        <v>2152</v>
      </c>
      <c r="I563" s="11" t="s">
        <v>2153</v>
      </c>
      <c r="J563" s="10" t="s">
        <v>2160</v>
      </c>
      <c r="K563" s="11" t="s">
        <v>2161</v>
      </c>
      <c r="L563" s="18" t="str">
        <f t="shared" si="16"/>
        <v/>
      </c>
      <c r="M563" s="15" t="str">
        <f t="shared" si="17"/>
        <v>4</v>
      </c>
    </row>
    <row r="564" spans="1:13" ht="56.25" customHeight="1" x14ac:dyDescent="0.3">
      <c r="A564" s="7">
        <v>562</v>
      </c>
      <c r="B564" s="7" t="s">
        <v>1515</v>
      </c>
      <c r="C564" s="7" t="s">
        <v>2162</v>
      </c>
      <c r="D564" s="8">
        <v>0.92</v>
      </c>
      <c r="H564" s="11" t="s">
        <v>2163</v>
      </c>
      <c r="I564" s="11" t="s">
        <v>2164</v>
      </c>
      <c r="J564" s="11" t="s">
        <v>2165</v>
      </c>
      <c r="K564" s="11" t="s">
        <v>2166</v>
      </c>
      <c r="L564" s="18">
        <f t="shared" si="16"/>
        <v>0.96</v>
      </c>
      <c r="M564" s="15" t="str">
        <f t="shared" si="17"/>
        <v>4</v>
      </c>
    </row>
    <row r="565" spans="1:13" ht="56.25" customHeight="1" x14ac:dyDescent="0.3">
      <c r="A565" s="5">
        <v>563</v>
      </c>
      <c r="B565" s="5" t="s">
        <v>2167</v>
      </c>
      <c r="C565" s="5" t="s">
        <v>2168</v>
      </c>
      <c r="D565" s="6">
        <v>0.92</v>
      </c>
      <c r="H565" s="10" t="s">
        <v>2163</v>
      </c>
      <c r="I565" s="11" t="s">
        <v>2164</v>
      </c>
      <c r="J565" s="10" t="s">
        <v>1664</v>
      </c>
      <c r="K565" s="11" t="s">
        <v>1665</v>
      </c>
      <c r="L565" s="18">
        <f t="shared" si="16"/>
        <v>0.98</v>
      </c>
      <c r="M565" s="15" t="str">
        <f t="shared" si="17"/>
        <v>4</v>
      </c>
    </row>
    <row r="566" spans="1:13" ht="56.25" customHeight="1" x14ac:dyDescent="0.3">
      <c r="A566" s="7">
        <v>564</v>
      </c>
      <c r="B566" s="7" t="s">
        <v>2169</v>
      </c>
      <c r="C566" s="7" t="s">
        <v>2170</v>
      </c>
      <c r="D566" s="8">
        <v>0.92</v>
      </c>
      <c r="H566" s="10" t="s">
        <v>2171</v>
      </c>
      <c r="I566" s="11" t="s">
        <v>2172</v>
      </c>
      <c r="J566" s="10" t="s">
        <v>2090</v>
      </c>
      <c r="K566" s="11" t="s">
        <v>2091</v>
      </c>
      <c r="L566" s="18" t="str">
        <f t="shared" si="16"/>
        <v/>
      </c>
      <c r="M566" s="15" t="str">
        <f t="shared" si="17"/>
        <v>4</v>
      </c>
    </row>
    <row r="567" spans="1:13" ht="56.25" customHeight="1" x14ac:dyDescent="0.3">
      <c r="A567" s="5">
        <v>565</v>
      </c>
      <c r="B567" s="5" t="s">
        <v>1706</v>
      </c>
      <c r="C567" s="5" t="s">
        <v>2173</v>
      </c>
      <c r="D567" s="6">
        <v>0.92</v>
      </c>
      <c r="H567" s="10" t="s">
        <v>2171</v>
      </c>
      <c r="I567" s="11" t="s">
        <v>2172</v>
      </c>
      <c r="J567" s="10" t="s">
        <v>2174</v>
      </c>
      <c r="K567" s="11" t="s">
        <v>2175</v>
      </c>
      <c r="L567" s="18">
        <f t="shared" si="16"/>
        <v>0.98</v>
      </c>
      <c r="M567" s="15" t="str">
        <f t="shared" si="17"/>
        <v>4</v>
      </c>
    </row>
    <row r="568" spans="1:13" ht="56.25" customHeight="1" x14ac:dyDescent="0.3">
      <c r="A568" s="7">
        <v>566</v>
      </c>
      <c r="B568" s="7" t="s">
        <v>2176</v>
      </c>
      <c r="C568" s="7" t="s">
        <v>2177</v>
      </c>
      <c r="D568" s="8">
        <v>0.92</v>
      </c>
      <c r="H568" s="10" t="s">
        <v>2171</v>
      </c>
      <c r="I568" s="11" t="s">
        <v>2172</v>
      </c>
      <c r="J568" s="10" t="s">
        <v>2178</v>
      </c>
      <c r="K568" s="11" t="s">
        <v>2179</v>
      </c>
      <c r="L568" s="18">
        <f t="shared" si="16"/>
        <v>0.97</v>
      </c>
      <c r="M568" s="15" t="str">
        <f t="shared" si="17"/>
        <v>4</v>
      </c>
    </row>
    <row r="569" spans="1:13" ht="56.25" customHeight="1" x14ac:dyDescent="0.3">
      <c r="A569" s="5">
        <v>567</v>
      </c>
      <c r="B569" s="5" t="s">
        <v>2180</v>
      </c>
      <c r="C569" s="5" t="s">
        <v>2181</v>
      </c>
      <c r="D569" s="6">
        <v>0.92</v>
      </c>
      <c r="H569" s="10" t="s">
        <v>2171</v>
      </c>
      <c r="I569" s="11" t="s">
        <v>2172</v>
      </c>
      <c r="J569" s="10" t="s">
        <v>2167</v>
      </c>
      <c r="K569" s="11" t="s">
        <v>2182</v>
      </c>
      <c r="L569" s="18">
        <f t="shared" si="16"/>
        <v>0.92</v>
      </c>
      <c r="M569" s="15" t="str">
        <f t="shared" si="17"/>
        <v>4</v>
      </c>
    </row>
    <row r="570" spans="1:13" ht="56.25" customHeight="1" x14ac:dyDescent="0.3">
      <c r="A570" s="7">
        <v>568</v>
      </c>
      <c r="B570" s="7" t="s">
        <v>2183</v>
      </c>
      <c r="C570" s="7" t="s">
        <v>2184</v>
      </c>
      <c r="D570" s="8">
        <v>0.92</v>
      </c>
      <c r="H570" s="10" t="s">
        <v>2171</v>
      </c>
      <c r="I570" s="11" t="s">
        <v>2172</v>
      </c>
      <c r="J570" s="10" t="s">
        <v>2185</v>
      </c>
      <c r="K570" s="11" t="s">
        <v>2186</v>
      </c>
      <c r="L570" s="18">
        <f t="shared" si="16"/>
        <v>0.99</v>
      </c>
      <c r="M570" s="15" t="str">
        <f t="shared" si="17"/>
        <v>4</v>
      </c>
    </row>
    <row r="571" spans="1:13" ht="56.25" customHeight="1" x14ac:dyDescent="0.3">
      <c r="A571" s="5">
        <v>569</v>
      </c>
      <c r="B571" s="5" t="s">
        <v>2187</v>
      </c>
      <c r="C571" s="5" t="s">
        <v>2188</v>
      </c>
      <c r="D571" s="6">
        <v>0.92</v>
      </c>
      <c r="H571" s="10" t="s">
        <v>2171</v>
      </c>
      <c r="I571" s="11" t="s">
        <v>2172</v>
      </c>
      <c r="J571" s="10" t="s">
        <v>2189</v>
      </c>
      <c r="K571" s="11" t="s">
        <v>2190</v>
      </c>
      <c r="L571" s="18">
        <f t="shared" si="16"/>
        <v>0.98</v>
      </c>
      <c r="M571" s="15" t="str">
        <f t="shared" si="17"/>
        <v>4</v>
      </c>
    </row>
    <row r="572" spans="1:13" ht="56.25" customHeight="1" x14ac:dyDescent="0.3">
      <c r="A572" s="7">
        <v>570</v>
      </c>
      <c r="B572" s="7" t="s">
        <v>2191</v>
      </c>
      <c r="C572" s="7" t="s">
        <v>2192</v>
      </c>
      <c r="D572" s="8">
        <v>0.92</v>
      </c>
      <c r="H572" s="10" t="s">
        <v>2193</v>
      </c>
      <c r="I572" s="11" t="s">
        <v>2194</v>
      </c>
      <c r="J572" s="10" t="s">
        <v>2195</v>
      </c>
      <c r="K572" s="11" t="s">
        <v>2196</v>
      </c>
      <c r="L572" s="18">
        <f t="shared" si="16"/>
        <v>0.97</v>
      </c>
      <c r="M572" s="15" t="str">
        <f t="shared" si="17"/>
        <v>4</v>
      </c>
    </row>
    <row r="573" spans="1:13" ht="56.25" customHeight="1" x14ac:dyDescent="0.3">
      <c r="A573" s="5">
        <v>571</v>
      </c>
      <c r="B573" s="5" t="s">
        <v>2197</v>
      </c>
      <c r="C573" s="5" t="s">
        <v>2198</v>
      </c>
      <c r="D573" s="6">
        <v>0.92</v>
      </c>
      <c r="H573" s="10" t="s">
        <v>2199</v>
      </c>
      <c r="I573" s="11" t="s">
        <v>2200</v>
      </c>
      <c r="J573" s="10" t="s">
        <v>1749</v>
      </c>
      <c r="K573" s="11" t="s">
        <v>1750</v>
      </c>
      <c r="L573" s="18">
        <f t="shared" si="16"/>
        <v>0.98</v>
      </c>
      <c r="M573" s="15" t="str">
        <f t="shared" si="17"/>
        <v>4</v>
      </c>
    </row>
    <row r="574" spans="1:13" ht="56.25" customHeight="1" x14ac:dyDescent="0.3">
      <c r="A574" s="7">
        <v>572</v>
      </c>
      <c r="B574" s="7" t="s">
        <v>2201</v>
      </c>
      <c r="C574" s="7" t="s">
        <v>2202</v>
      </c>
      <c r="D574" s="8">
        <v>0.92</v>
      </c>
      <c r="H574" s="10" t="s">
        <v>2199</v>
      </c>
      <c r="I574" s="11" t="s">
        <v>2200</v>
      </c>
      <c r="J574" s="10" t="s">
        <v>1365</v>
      </c>
      <c r="K574" s="11" t="s">
        <v>2203</v>
      </c>
      <c r="L574" s="18">
        <f t="shared" si="16"/>
        <v>0.64</v>
      </c>
      <c r="M574" s="15" t="str">
        <f t="shared" si="17"/>
        <v>4</v>
      </c>
    </row>
    <row r="575" spans="1:13" ht="56.25" customHeight="1" x14ac:dyDescent="0.3">
      <c r="A575" s="5">
        <v>573</v>
      </c>
      <c r="B575" s="5" t="s">
        <v>2204</v>
      </c>
      <c r="C575" s="5" t="s">
        <v>2205</v>
      </c>
      <c r="D575" s="6">
        <v>0.92</v>
      </c>
      <c r="H575" s="10" t="s">
        <v>2199</v>
      </c>
      <c r="I575" s="11" t="s">
        <v>2200</v>
      </c>
      <c r="J575" s="10" t="s">
        <v>2206</v>
      </c>
      <c r="K575" s="11" t="s">
        <v>2207</v>
      </c>
      <c r="L575" s="18">
        <f t="shared" si="16"/>
        <v>0.95</v>
      </c>
      <c r="M575" s="15" t="str">
        <f t="shared" si="17"/>
        <v>4</v>
      </c>
    </row>
    <row r="576" spans="1:13" ht="56.25" customHeight="1" x14ac:dyDescent="0.3">
      <c r="A576" s="7">
        <v>574</v>
      </c>
      <c r="B576" s="7" t="s">
        <v>2208</v>
      </c>
      <c r="C576" s="7" t="s">
        <v>2209</v>
      </c>
      <c r="D576" s="8">
        <v>0.93</v>
      </c>
      <c r="H576" s="10" t="s">
        <v>2210</v>
      </c>
      <c r="I576" s="11" t="s">
        <v>2211</v>
      </c>
      <c r="J576" s="10" t="s">
        <v>1971</v>
      </c>
      <c r="K576" s="11" t="s">
        <v>2212</v>
      </c>
      <c r="L576" s="18">
        <f t="shared" si="16"/>
        <v>0.88</v>
      </c>
      <c r="M576" s="15" t="str">
        <f t="shared" si="17"/>
        <v>4</v>
      </c>
    </row>
    <row r="577" spans="1:13" ht="56.25" customHeight="1" x14ac:dyDescent="0.3">
      <c r="A577" s="5">
        <v>575</v>
      </c>
      <c r="B577" s="5" t="s">
        <v>2213</v>
      </c>
      <c r="C577" s="5" t="s">
        <v>2214</v>
      </c>
      <c r="D577" s="6">
        <v>0.93</v>
      </c>
      <c r="H577" s="10" t="s">
        <v>2215</v>
      </c>
      <c r="I577" s="11" t="s">
        <v>2216</v>
      </c>
      <c r="J577" s="10" t="s">
        <v>2217</v>
      </c>
      <c r="K577" s="11" t="s">
        <v>2218</v>
      </c>
      <c r="L577" s="18">
        <f t="shared" si="16"/>
        <v>0.96</v>
      </c>
      <c r="M577" s="15" t="str">
        <f t="shared" si="17"/>
        <v>4</v>
      </c>
    </row>
    <row r="578" spans="1:13" ht="56.25" customHeight="1" x14ac:dyDescent="0.3">
      <c r="A578" s="7">
        <v>576</v>
      </c>
      <c r="B578" s="7" t="s">
        <v>2219</v>
      </c>
      <c r="C578" s="7" t="s">
        <v>2220</v>
      </c>
      <c r="D578" s="8">
        <v>0.93</v>
      </c>
      <c r="H578" s="10" t="s">
        <v>2221</v>
      </c>
      <c r="I578" s="11" t="s">
        <v>2222</v>
      </c>
      <c r="J578" s="10" t="s">
        <v>1951</v>
      </c>
      <c r="K578" s="11" t="s">
        <v>1952</v>
      </c>
      <c r="L578" s="18">
        <f t="shared" si="16"/>
        <v>0.99</v>
      </c>
      <c r="M578" s="15" t="str">
        <f t="shared" si="17"/>
        <v>4</v>
      </c>
    </row>
    <row r="579" spans="1:13" ht="56.25" customHeight="1" x14ac:dyDescent="0.3">
      <c r="A579" s="5">
        <v>577</v>
      </c>
      <c r="B579" s="5" t="s">
        <v>2223</v>
      </c>
      <c r="C579" s="5" t="s">
        <v>2224</v>
      </c>
      <c r="D579" s="6">
        <v>0.93</v>
      </c>
      <c r="H579" s="10" t="s">
        <v>2221</v>
      </c>
      <c r="I579" s="11" t="s">
        <v>2222</v>
      </c>
      <c r="J579" s="10" t="s">
        <v>2225</v>
      </c>
      <c r="K579" s="11" t="s">
        <v>2226</v>
      </c>
      <c r="L579" s="18">
        <f t="shared" ref="L579:L642" si="18">IFERROR(INDEX($D$3:$D$704,MATCH(TRIM(J579),$B$3:$B$704,0)),"")</f>
        <v>0.95</v>
      </c>
      <c r="M579" s="15" t="str">
        <f t="shared" ref="M579:M642" si="19">LEFT(TEXT(H579,"0000")*0.1)</f>
        <v>4</v>
      </c>
    </row>
    <row r="580" spans="1:13" ht="56.25" customHeight="1" x14ac:dyDescent="0.3">
      <c r="A580" s="7">
        <v>578</v>
      </c>
      <c r="B580" s="7" t="s">
        <v>2227</v>
      </c>
      <c r="C580" s="7" t="s">
        <v>2228</v>
      </c>
      <c r="D580" s="8">
        <v>0.93</v>
      </c>
      <c r="H580" s="10" t="s">
        <v>2229</v>
      </c>
      <c r="I580" s="11" t="s">
        <v>2230</v>
      </c>
      <c r="J580" s="10" t="s">
        <v>2231</v>
      </c>
      <c r="K580" s="11" t="s">
        <v>2232</v>
      </c>
      <c r="L580" s="18">
        <f t="shared" si="18"/>
        <v>0.94</v>
      </c>
      <c r="M580" s="15" t="str">
        <f t="shared" si="19"/>
        <v>4</v>
      </c>
    </row>
    <row r="581" spans="1:13" ht="56.25" customHeight="1" x14ac:dyDescent="0.3">
      <c r="A581" s="5">
        <v>579</v>
      </c>
      <c r="B581" s="5" t="s">
        <v>2233</v>
      </c>
      <c r="C581" s="5" t="s">
        <v>2234</v>
      </c>
      <c r="D581" s="6">
        <v>0.93</v>
      </c>
      <c r="H581" s="10" t="s">
        <v>2229</v>
      </c>
      <c r="I581" s="11" t="s">
        <v>2230</v>
      </c>
      <c r="J581" s="10" t="s">
        <v>2063</v>
      </c>
      <c r="K581" s="11" t="s">
        <v>2064</v>
      </c>
      <c r="L581" s="18">
        <f t="shared" si="18"/>
        <v>0.95</v>
      </c>
      <c r="M581" s="15" t="str">
        <f t="shared" si="19"/>
        <v>4</v>
      </c>
    </row>
    <row r="582" spans="1:13" ht="56.25" customHeight="1" x14ac:dyDescent="0.3">
      <c r="A582" s="7">
        <v>580</v>
      </c>
      <c r="B582" s="7" t="s">
        <v>2235</v>
      </c>
      <c r="C582" s="7" t="s">
        <v>2236</v>
      </c>
      <c r="D582" s="8">
        <v>0.93</v>
      </c>
      <c r="H582" s="10" t="s">
        <v>2229</v>
      </c>
      <c r="I582" s="11" t="s">
        <v>2230</v>
      </c>
      <c r="J582" s="10" t="s">
        <v>1456</v>
      </c>
      <c r="K582" s="11" t="s">
        <v>2237</v>
      </c>
      <c r="L582" s="18">
        <f t="shared" si="18"/>
        <v>0.68</v>
      </c>
      <c r="M582" s="15" t="str">
        <f t="shared" si="19"/>
        <v>4</v>
      </c>
    </row>
    <row r="583" spans="1:13" ht="56.25" customHeight="1" x14ac:dyDescent="0.3">
      <c r="A583" s="5">
        <v>581</v>
      </c>
      <c r="B583" s="5" t="s">
        <v>2238</v>
      </c>
      <c r="C583" s="5" t="s">
        <v>2239</v>
      </c>
      <c r="D583" s="6">
        <v>0.93</v>
      </c>
      <c r="H583" s="10" t="s">
        <v>2229</v>
      </c>
      <c r="I583" s="11" t="s">
        <v>2230</v>
      </c>
      <c r="J583" s="10" t="s">
        <v>1660</v>
      </c>
      <c r="K583" s="11" t="s">
        <v>2240</v>
      </c>
      <c r="L583" s="18">
        <f t="shared" si="18"/>
        <v>0.79</v>
      </c>
      <c r="M583" s="15" t="str">
        <f t="shared" si="19"/>
        <v>4</v>
      </c>
    </row>
    <row r="584" spans="1:13" ht="56.25" customHeight="1" x14ac:dyDescent="0.3">
      <c r="A584" s="7">
        <v>582</v>
      </c>
      <c r="B584" s="7" t="s">
        <v>2241</v>
      </c>
      <c r="C584" s="7" t="s">
        <v>2242</v>
      </c>
      <c r="D584" s="8">
        <v>0.93</v>
      </c>
      <c r="H584" s="10" t="s">
        <v>2229</v>
      </c>
      <c r="I584" s="11" t="s">
        <v>2230</v>
      </c>
      <c r="J584" s="10" t="s">
        <v>2243</v>
      </c>
      <c r="K584" s="11" t="s">
        <v>2244</v>
      </c>
      <c r="L584" s="18">
        <f t="shared" si="18"/>
        <v>0.94</v>
      </c>
      <c r="M584" s="15" t="str">
        <f t="shared" si="19"/>
        <v>4</v>
      </c>
    </row>
    <row r="585" spans="1:13" ht="56.25" customHeight="1" x14ac:dyDescent="0.3">
      <c r="A585" s="5">
        <v>583</v>
      </c>
      <c r="B585" s="5" t="s">
        <v>2245</v>
      </c>
      <c r="C585" s="5" t="s">
        <v>2246</v>
      </c>
      <c r="D585" s="6">
        <v>0.93</v>
      </c>
      <c r="H585" s="10" t="s">
        <v>2247</v>
      </c>
      <c r="I585" s="11" t="s">
        <v>2248</v>
      </c>
      <c r="J585" s="10" t="s">
        <v>1859</v>
      </c>
      <c r="K585" s="11" t="s">
        <v>2249</v>
      </c>
      <c r="L585" s="18">
        <f t="shared" si="18"/>
        <v>0.84</v>
      </c>
      <c r="M585" s="15" t="str">
        <f t="shared" si="19"/>
        <v>4</v>
      </c>
    </row>
    <row r="586" spans="1:13" ht="56.25" customHeight="1" x14ac:dyDescent="0.3">
      <c r="A586" s="7">
        <v>584</v>
      </c>
      <c r="B586" s="7" t="s">
        <v>2250</v>
      </c>
      <c r="C586" s="7" t="s">
        <v>2251</v>
      </c>
      <c r="D586" s="8">
        <v>0.93</v>
      </c>
      <c r="H586" s="11" t="s">
        <v>2252</v>
      </c>
      <c r="I586" s="11" t="s">
        <v>2253</v>
      </c>
      <c r="J586" s="11" t="s">
        <v>639</v>
      </c>
      <c r="K586" s="11" t="s">
        <v>1927</v>
      </c>
      <c r="L586" s="18">
        <f t="shared" si="18"/>
        <v>7.5999999999999998E-2</v>
      </c>
      <c r="M586" s="15" t="str">
        <f t="shared" si="19"/>
        <v>4</v>
      </c>
    </row>
    <row r="587" spans="1:13" ht="56.25" customHeight="1" x14ac:dyDescent="0.3">
      <c r="A587" s="5">
        <v>585</v>
      </c>
      <c r="B587" s="5" t="s">
        <v>2254</v>
      </c>
      <c r="C587" s="5" t="s">
        <v>2255</v>
      </c>
      <c r="D587" s="6">
        <v>0.93</v>
      </c>
      <c r="H587" s="10" t="s">
        <v>2252</v>
      </c>
      <c r="I587" s="11" t="s">
        <v>2253</v>
      </c>
      <c r="J587" s="10" t="s">
        <v>1580</v>
      </c>
      <c r="K587" s="11" t="s">
        <v>2256</v>
      </c>
      <c r="L587" s="18">
        <f t="shared" si="18"/>
        <v>0.74</v>
      </c>
      <c r="M587" s="15" t="str">
        <f t="shared" si="19"/>
        <v>4</v>
      </c>
    </row>
    <row r="588" spans="1:13" ht="56.25" customHeight="1" x14ac:dyDescent="0.3">
      <c r="A588" s="7">
        <v>586</v>
      </c>
      <c r="B588" s="7" t="s">
        <v>1846</v>
      </c>
      <c r="C588" s="7" t="s">
        <v>2257</v>
      </c>
      <c r="D588" s="8">
        <v>0.93</v>
      </c>
      <c r="H588" s="10" t="s">
        <v>2258</v>
      </c>
      <c r="I588" s="11" t="s">
        <v>2259</v>
      </c>
      <c r="J588" s="10" t="s">
        <v>2260</v>
      </c>
      <c r="K588" s="11" t="s">
        <v>2261</v>
      </c>
      <c r="L588" s="18">
        <f t="shared" si="18"/>
        <v>0.97</v>
      </c>
      <c r="M588" s="15" t="str">
        <f t="shared" si="19"/>
        <v>4</v>
      </c>
    </row>
    <row r="589" spans="1:13" ht="56.25" customHeight="1" x14ac:dyDescent="0.3">
      <c r="A589" s="5">
        <v>587</v>
      </c>
      <c r="B589" s="5" t="s">
        <v>2262</v>
      </c>
      <c r="C589" s="5" t="s">
        <v>2263</v>
      </c>
      <c r="D589" s="6">
        <v>0.93</v>
      </c>
      <c r="H589" s="10" t="s">
        <v>2258</v>
      </c>
      <c r="I589" s="11" t="s">
        <v>2259</v>
      </c>
      <c r="J589" s="10" t="s">
        <v>2158</v>
      </c>
      <c r="K589" s="11" t="s">
        <v>2264</v>
      </c>
      <c r="L589" s="18">
        <f t="shared" si="18"/>
        <v>0.92</v>
      </c>
      <c r="M589" s="15" t="str">
        <f t="shared" si="19"/>
        <v>4</v>
      </c>
    </row>
    <row r="590" spans="1:13" ht="56.25" customHeight="1" x14ac:dyDescent="0.3">
      <c r="A590" s="7">
        <v>588</v>
      </c>
      <c r="B590" s="7" t="s">
        <v>2265</v>
      </c>
      <c r="C590" s="7" t="s">
        <v>2266</v>
      </c>
      <c r="D590" s="8">
        <v>0.93</v>
      </c>
      <c r="H590" s="10" t="s">
        <v>2267</v>
      </c>
      <c r="I590" s="11" t="s">
        <v>2268</v>
      </c>
      <c r="J590" s="10" t="s">
        <v>2045</v>
      </c>
      <c r="K590" s="11" t="s">
        <v>2269</v>
      </c>
      <c r="L590" s="18">
        <f t="shared" si="18"/>
        <v>0.9</v>
      </c>
      <c r="M590" s="15" t="str">
        <f t="shared" si="19"/>
        <v>4</v>
      </c>
    </row>
    <row r="591" spans="1:13" ht="56.25" customHeight="1" x14ac:dyDescent="0.3">
      <c r="A591" s="5">
        <v>589</v>
      </c>
      <c r="B591" s="5" t="s">
        <v>907</v>
      </c>
      <c r="C591" s="5" t="s">
        <v>2270</v>
      </c>
      <c r="D591" s="6">
        <v>0.94</v>
      </c>
      <c r="H591" s="10" t="s">
        <v>2271</v>
      </c>
      <c r="I591" s="11" t="s">
        <v>2272</v>
      </c>
      <c r="J591" s="10" t="s">
        <v>1925</v>
      </c>
      <c r="K591" s="11" t="s">
        <v>2138</v>
      </c>
      <c r="L591" s="18">
        <f t="shared" si="18"/>
        <v>0.86</v>
      </c>
      <c r="M591" s="15" t="str">
        <f t="shared" si="19"/>
        <v>4</v>
      </c>
    </row>
    <row r="592" spans="1:13" ht="56.25" customHeight="1" x14ac:dyDescent="0.3">
      <c r="A592" s="7">
        <v>590</v>
      </c>
      <c r="B592" s="7" t="s">
        <v>2273</v>
      </c>
      <c r="C592" s="7" t="s">
        <v>2274</v>
      </c>
      <c r="D592" s="8">
        <v>0.94</v>
      </c>
      <c r="H592" s="10" t="s">
        <v>2271</v>
      </c>
      <c r="I592" s="11" t="s">
        <v>2272</v>
      </c>
      <c r="J592" s="10" t="s">
        <v>2275</v>
      </c>
      <c r="K592" s="11" t="s">
        <v>2276</v>
      </c>
      <c r="L592" s="18">
        <f t="shared" si="18"/>
        <v>0.98</v>
      </c>
      <c r="M592" s="15" t="str">
        <f t="shared" si="19"/>
        <v>4</v>
      </c>
    </row>
    <row r="593" spans="1:13" ht="56.25" customHeight="1" x14ac:dyDescent="0.3">
      <c r="A593" s="5">
        <v>591</v>
      </c>
      <c r="B593" s="5" t="s">
        <v>2243</v>
      </c>
      <c r="C593" s="5" t="s">
        <v>2277</v>
      </c>
      <c r="D593" s="6">
        <v>0.94</v>
      </c>
      <c r="H593" s="10" t="s">
        <v>2271</v>
      </c>
      <c r="I593" s="11" t="s">
        <v>2272</v>
      </c>
      <c r="J593" s="10" t="s">
        <v>2160</v>
      </c>
      <c r="K593" s="11" t="s">
        <v>2161</v>
      </c>
      <c r="L593" s="18" t="str">
        <f t="shared" si="18"/>
        <v/>
      </c>
      <c r="M593" s="15" t="str">
        <f t="shared" si="19"/>
        <v>4</v>
      </c>
    </row>
    <row r="594" spans="1:13" ht="56.25" customHeight="1" x14ac:dyDescent="0.3">
      <c r="A594" s="7">
        <v>592</v>
      </c>
      <c r="B594" s="7" t="s">
        <v>2278</v>
      </c>
      <c r="C594" s="7" t="s">
        <v>2279</v>
      </c>
      <c r="D594" s="8">
        <v>0.94</v>
      </c>
      <c r="H594" s="10" t="s">
        <v>2271</v>
      </c>
      <c r="I594" s="11" t="s">
        <v>2272</v>
      </c>
      <c r="J594" s="10" t="s">
        <v>2280</v>
      </c>
      <c r="K594" s="11" t="s">
        <v>2281</v>
      </c>
      <c r="L594" s="18" t="str">
        <f t="shared" si="18"/>
        <v/>
      </c>
      <c r="M594" s="15" t="str">
        <f t="shared" si="19"/>
        <v>4</v>
      </c>
    </row>
    <row r="595" spans="1:13" ht="56.25" customHeight="1" x14ac:dyDescent="0.3">
      <c r="A595" s="5">
        <v>593</v>
      </c>
      <c r="B595" s="5" t="s">
        <v>2282</v>
      </c>
      <c r="C595" s="5" t="s">
        <v>2283</v>
      </c>
      <c r="D595" s="6">
        <v>0.94</v>
      </c>
      <c r="H595" s="10" t="s">
        <v>2284</v>
      </c>
      <c r="I595" s="11" t="s">
        <v>2285</v>
      </c>
      <c r="J595" s="10" t="s">
        <v>439</v>
      </c>
      <c r="K595" s="11" t="s">
        <v>1455</v>
      </c>
      <c r="L595" s="18">
        <f t="shared" si="18"/>
        <v>2.9000000000000001E-2</v>
      </c>
      <c r="M595" s="15" t="str">
        <f t="shared" si="19"/>
        <v>5</v>
      </c>
    </row>
    <row r="596" spans="1:13" ht="56.25" customHeight="1" x14ac:dyDescent="0.3">
      <c r="A596" s="7">
        <v>594</v>
      </c>
      <c r="B596" s="7" t="s">
        <v>911</v>
      </c>
      <c r="C596" s="7" t="s">
        <v>2286</v>
      </c>
      <c r="D596" s="8">
        <v>0.94</v>
      </c>
      <c r="H596" s="10" t="s">
        <v>2284</v>
      </c>
      <c r="I596" s="11" t="s">
        <v>2285</v>
      </c>
      <c r="J596" s="10" t="s">
        <v>986</v>
      </c>
      <c r="K596" s="11" t="s">
        <v>2287</v>
      </c>
      <c r="L596" s="18">
        <f t="shared" si="18"/>
        <v>0.35</v>
      </c>
      <c r="M596" s="15" t="str">
        <f t="shared" si="19"/>
        <v>5</v>
      </c>
    </row>
    <row r="597" spans="1:13" ht="56.25" customHeight="1" x14ac:dyDescent="0.3">
      <c r="A597" s="5">
        <v>595</v>
      </c>
      <c r="B597" s="5" t="s">
        <v>2288</v>
      </c>
      <c r="C597" s="5" t="s">
        <v>2289</v>
      </c>
      <c r="D597" s="6">
        <v>0.94</v>
      </c>
      <c r="H597" s="10" t="s">
        <v>2284</v>
      </c>
      <c r="I597" s="11" t="s">
        <v>2285</v>
      </c>
      <c r="J597" s="10" t="s">
        <v>1602</v>
      </c>
      <c r="K597" s="11" t="s">
        <v>2290</v>
      </c>
      <c r="L597" s="18">
        <f t="shared" si="18"/>
        <v>0.75</v>
      </c>
      <c r="M597" s="15" t="str">
        <f t="shared" si="19"/>
        <v>5</v>
      </c>
    </row>
    <row r="598" spans="1:13" ht="56.25" customHeight="1" x14ac:dyDescent="0.3">
      <c r="A598" s="7">
        <v>596</v>
      </c>
      <c r="B598" s="7" t="s">
        <v>2291</v>
      </c>
      <c r="C598" s="7" t="s">
        <v>2292</v>
      </c>
      <c r="D598" s="8">
        <v>0.94</v>
      </c>
      <c r="H598" s="10" t="s">
        <v>2293</v>
      </c>
      <c r="I598" s="11" t="s">
        <v>2294</v>
      </c>
      <c r="J598" s="10" t="s">
        <v>439</v>
      </c>
      <c r="K598" s="11" t="s">
        <v>1455</v>
      </c>
      <c r="L598" s="18">
        <f t="shared" si="18"/>
        <v>2.9000000000000001E-2</v>
      </c>
      <c r="M598" s="15" t="str">
        <f t="shared" si="19"/>
        <v>5</v>
      </c>
    </row>
    <row r="599" spans="1:13" ht="56.25" customHeight="1" x14ac:dyDescent="0.3">
      <c r="A599" s="5">
        <v>597</v>
      </c>
      <c r="B599" s="5" t="s">
        <v>2295</v>
      </c>
      <c r="C599" s="5" t="s">
        <v>2296</v>
      </c>
      <c r="D599" s="6">
        <v>0.94</v>
      </c>
      <c r="H599" s="10" t="s">
        <v>2293</v>
      </c>
      <c r="I599" s="11" t="s">
        <v>2294</v>
      </c>
      <c r="J599" s="10" t="s">
        <v>1602</v>
      </c>
      <c r="K599" s="11" t="s">
        <v>2290</v>
      </c>
      <c r="L599" s="18">
        <f t="shared" si="18"/>
        <v>0.75</v>
      </c>
      <c r="M599" s="15" t="str">
        <f t="shared" si="19"/>
        <v>5</v>
      </c>
    </row>
    <row r="600" spans="1:13" ht="56.25" customHeight="1" x14ac:dyDescent="0.3">
      <c r="A600" s="7">
        <v>598</v>
      </c>
      <c r="B600" s="7" t="s">
        <v>2297</v>
      </c>
      <c r="C600" s="7" t="s">
        <v>2298</v>
      </c>
      <c r="D600" s="8">
        <v>0.94</v>
      </c>
      <c r="H600" s="11" t="s">
        <v>2299</v>
      </c>
      <c r="I600" s="11" t="s">
        <v>588</v>
      </c>
      <c r="J600" s="11" t="s">
        <v>639</v>
      </c>
      <c r="K600" s="11" t="s">
        <v>1927</v>
      </c>
      <c r="L600" s="18">
        <f t="shared" si="18"/>
        <v>7.5999999999999998E-2</v>
      </c>
      <c r="M600" s="15" t="str">
        <f t="shared" si="19"/>
        <v>5</v>
      </c>
    </row>
    <row r="601" spans="1:13" ht="56.25" customHeight="1" x14ac:dyDescent="0.3">
      <c r="A601" s="5">
        <v>599</v>
      </c>
      <c r="B601" s="5" t="s">
        <v>2231</v>
      </c>
      <c r="C601" s="5" t="s">
        <v>2300</v>
      </c>
      <c r="D601" s="6">
        <v>0.94</v>
      </c>
      <c r="H601" s="10" t="s">
        <v>2299</v>
      </c>
      <c r="I601" s="11" t="s">
        <v>588</v>
      </c>
      <c r="J601" s="10" t="s">
        <v>2101</v>
      </c>
      <c r="K601" s="11" t="s">
        <v>2301</v>
      </c>
      <c r="L601" s="18">
        <f t="shared" si="18"/>
        <v>0.91</v>
      </c>
      <c r="M601" s="15" t="str">
        <f t="shared" si="19"/>
        <v>5</v>
      </c>
    </row>
    <row r="602" spans="1:13" ht="56.25" customHeight="1" x14ac:dyDescent="0.3">
      <c r="A602" s="7">
        <v>600</v>
      </c>
      <c r="B602" s="7" t="s">
        <v>2148</v>
      </c>
      <c r="C602" s="7" t="s">
        <v>2302</v>
      </c>
      <c r="D602" s="8">
        <v>0.94</v>
      </c>
      <c r="H602" s="10" t="s">
        <v>2299</v>
      </c>
      <c r="I602" s="11" t="s">
        <v>588</v>
      </c>
      <c r="J602" s="10" t="s">
        <v>587</v>
      </c>
      <c r="K602" s="11" t="s">
        <v>2303</v>
      </c>
      <c r="L602" s="18">
        <f t="shared" si="18"/>
        <v>5.7000000000000002E-2</v>
      </c>
      <c r="M602" s="15" t="str">
        <f t="shared" si="19"/>
        <v>5</v>
      </c>
    </row>
    <row r="603" spans="1:13" ht="56.25" customHeight="1" x14ac:dyDescent="0.3">
      <c r="A603" s="5">
        <v>601</v>
      </c>
      <c r="B603" s="5" t="s">
        <v>2304</v>
      </c>
      <c r="C603" s="5" t="s">
        <v>2305</v>
      </c>
      <c r="D603" s="6">
        <v>0.94</v>
      </c>
      <c r="H603" s="11" t="s">
        <v>2306</v>
      </c>
      <c r="I603" s="11" t="s">
        <v>2307</v>
      </c>
      <c r="J603" s="11" t="s">
        <v>1346</v>
      </c>
      <c r="K603" s="11" t="s">
        <v>1962</v>
      </c>
      <c r="L603" s="18">
        <f t="shared" si="18"/>
        <v>0.63</v>
      </c>
      <c r="M603" s="15" t="str">
        <f t="shared" si="19"/>
        <v>5</v>
      </c>
    </row>
    <row r="604" spans="1:13" ht="56.25" customHeight="1" x14ac:dyDescent="0.3">
      <c r="A604" s="7">
        <v>602</v>
      </c>
      <c r="B604" s="7" t="s">
        <v>2308</v>
      </c>
      <c r="C604" s="7" t="s">
        <v>2309</v>
      </c>
      <c r="D604" s="8">
        <v>0.94</v>
      </c>
      <c r="H604" s="10" t="s">
        <v>2306</v>
      </c>
      <c r="I604" s="11" t="s">
        <v>2307</v>
      </c>
      <c r="J604" s="10" t="s">
        <v>1779</v>
      </c>
      <c r="K604" s="11" t="s">
        <v>2310</v>
      </c>
      <c r="L604" s="18">
        <f t="shared" si="18"/>
        <v>0.83</v>
      </c>
      <c r="M604" s="15" t="str">
        <f t="shared" si="19"/>
        <v>5</v>
      </c>
    </row>
    <row r="605" spans="1:13" ht="56.25" customHeight="1" x14ac:dyDescent="0.3">
      <c r="A605" s="5">
        <v>603</v>
      </c>
      <c r="B605" s="5" t="s">
        <v>2311</v>
      </c>
      <c r="C605" s="5" t="s">
        <v>2312</v>
      </c>
      <c r="D605" s="6">
        <v>0.94</v>
      </c>
      <c r="H605" s="10" t="s">
        <v>2306</v>
      </c>
      <c r="I605" s="11" t="s">
        <v>2307</v>
      </c>
      <c r="J605" s="10" t="s">
        <v>947</v>
      </c>
      <c r="K605" s="11" t="s">
        <v>2313</v>
      </c>
      <c r="L605" s="18">
        <f t="shared" si="18"/>
        <v>0.3</v>
      </c>
      <c r="M605" s="15" t="str">
        <f t="shared" si="19"/>
        <v>5</v>
      </c>
    </row>
    <row r="606" spans="1:13" ht="56.25" customHeight="1" x14ac:dyDescent="0.3">
      <c r="A606" s="7">
        <v>604</v>
      </c>
      <c r="B606" s="7" t="s">
        <v>2132</v>
      </c>
      <c r="C606" s="7" t="s">
        <v>2314</v>
      </c>
      <c r="D606" s="8">
        <v>0.94</v>
      </c>
      <c r="H606" s="10" t="s">
        <v>2306</v>
      </c>
      <c r="I606" s="11" t="s">
        <v>2307</v>
      </c>
      <c r="J606" s="10" t="s">
        <v>2315</v>
      </c>
      <c r="K606" s="11" t="s">
        <v>2316</v>
      </c>
      <c r="L606" s="18">
        <f t="shared" si="18"/>
        <v>0.96</v>
      </c>
      <c r="M606" s="15" t="str">
        <f t="shared" si="19"/>
        <v>5</v>
      </c>
    </row>
    <row r="607" spans="1:13" ht="56.25" customHeight="1" x14ac:dyDescent="0.3">
      <c r="A607" s="5">
        <v>605</v>
      </c>
      <c r="B607" s="5" t="s">
        <v>2317</v>
      </c>
      <c r="C607" s="5" t="s">
        <v>2318</v>
      </c>
      <c r="D607" s="6">
        <v>0.94</v>
      </c>
      <c r="H607" s="10" t="s">
        <v>2306</v>
      </c>
      <c r="I607" s="11" t="s">
        <v>2307</v>
      </c>
      <c r="J607" s="10" t="s">
        <v>2304</v>
      </c>
      <c r="K607" s="11" t="s">
        <v>2319</v>
      </c>
      <c r="L607" s="18">
        <f t="shared" si="18"/>
        <v>0.94</v>
      </c>
      <c r="M607" s="15" t="str">
        <f t="shared" si="19"/>
        <v>5</v>
      </c>
    </row>
    <row r="608" spans="1:13" ht="56.25" customHeight="1" x14ac:dyDescent="0.3">
      <c r="A608" s="7">
        <v>606</v>
      </c>
      <c r="B608" s="7" t="s">
        <v>2320</v>
      </c>
      <c r="C608" s="7" t="s">
        <v>2321</v>
      </c>
      <c r="D608" s="8">
        <v>0.94</v>
      </c>
      <c r="H608" s="10" t="s">
        <v>2306</v>
      </c>
      <c r="I608" s="11" t="s">
        <v>2307</v>
      </c>
      <c r="J608" s="10" t="s">
        <v>2322</v>
      </c>
      <c r="K608" s="11" t="s">
        <v>2323</v>
      </c>
      <c r="L608" s="18" t="str">
        <f t="shared" si="18"/>
        <v/>
      </c>
      <c r="M608" s="15" t="str">
        <f t="shared" si="19"/>
        <v>5</v>
      </c>
    </row>
    <row r="609" spans="1:13" ht="56.25" customHeight="1" x14ac:dyDescent="0.3">
      <c r="A609" s="5">
        <v>607</v>
      </c>
      <c r="B609" s="5" t="s">
        <v>2324</v>
      </c>
      <c r="C609" s="5" t="s">
        <v>2325</v>
      </c>
      <c r="D609" s="6">
        <v>0.94</v>
      </c>
      <c r="H609" s="10" t="s">
        <v>2326</v>
      </c>
      <c r="I609" s="11" t="s">
        <v>2327</v>
      </c>
      <c r="J609" s="10" t="s">
        <v>2278</v>
      </c>
      <c r="K609" s="11" t="s">
        <v>2328</v>
      </c>
      <c r="L609" s="18">
        <f t="shared" si="18"/>
        <v>0.94</v>
      </c>
      <c r="M609" s="15" t="str">
        <f t="shared" si="19"/>
        <v>5</v>
      </c>
    </row>
    <row r="610" spans="1:13" ht="56.25" customHeight="1" x14ac:dyDescent="0.3">
      <c r="A610" s="7">
        <v>608</v>
      </c>
      <c r="B610" s="7" t="s">
        <v>1604</v>
      </c>
      <c r="C610" s="7" t="s">
        <v>2329</v>
      </c>
      <c r="D610" s="8">
        <v>0.94</v>
      </c>
      <c r="H610" s="10" t="s">
        <v>2326</v>
      </c>
      <c r="I610" s="11" t="s">
        <v>2327</v>
      </c>
      <c r="J610" s="10" t="s">
        <v>1893</v>
      </c>
      <c r="K610" s="11" t="s">
        <v>2330</v>
      </c>
      <c r="L610" s="18">
        <f t="shared" si="18"/>
        <v>0.86</v>
      </c>
      <c r="M610" s="15" t="str">
        <f t="shared" si="19"/>
        <v>5</v>
      </c>
    </row>
    <row r="611" spans="1:13" ht="56.25" customHeight="1" x14ac:dyDescent="0.3">
      <c r="A611" s="5">
        <v>609</v>
      </c>
      <c r="B611" s="5" t="s">
        <v>1878</v>
      </c>
      <c r="C611" s="5" t="s">
        <v>2331</v>
      </c>
      <c r="D611" s="6">
        <v>0.94</v>
      </c>
      <c r="H611" s="10" t="s">
        <v>2332</v>
      </c>
      <c r="I611" s="11" t="s">
        <v>1633</v>
      </c>
      <c r="J611" s="10" t="s">
        <v>1632</v>
      </c>
      <c r="K611" s="11" t="s">
        <v>1633</v>
      </c>
      <c r="L611" s="18">
        <f t="shared" si="18"/>
        <v>0.77</v>
      </c>
      <c r="M611" s="15" t="str">
        <f t="shared" si="19"/>
        <v>5</v>
      </c>
    </row>
    <row r="612" spans="1:13" ht="56.25" customHeight="1" x14ac:dyDescent="0.3">
      <c r="A612" s="7">
        <v>610</v>
      </c>
      <c r="B612" s="7" t="s">
        <v>2333</v>
      </c>
      <c r="C612" s="7" t="s">
        <v>2334</v>
      </c>
      <c r="D612" s="8">
        <v>0.95</v>
      </c>
      <c r="H612" s="11" t="s">
        <v>2335</v>
      </c>
      <c r="I612" s="11" t="s">
        <v>2336</v>
      </c>
      <c r="J612" s="11" t="s">
        <v>639</v>
      </c>
      <c r="K612" s="11" t="s">
        <v>1927</v>
      </c>
      <c r="L612" s="18">
        <f t="shared" si="18"/>
        <v>7.5999999999999998E-2</v>
      </c>
      <c r="M612" s="15" t="str">
        <f t="shared" si="19"/>
        <v>5</v>
      </c>
    </row>
    <row r="613" spans="1:13" ht="56.25" customHeight="1" x14ac:dyDescent="0.3">
      <c r="A613" s="5">
        <v>611</v>
      </c>
      <c r="B613" s="5" t="s">
        <v>2206</v>
      </c>
      <c r="C613" s="5" t="s">
        <v>2337</v>
      </c>
      <c r="D613" s="6">
        <v>0.95</v>
      </c>
      <c r="H613" s="10" t="s">
        <v>2335</v>
      </c>
      <c r="I613" s="11" t="s">
        <v>2336</v>
      </c>
      <c r="J613" s="10" t="s">
        <v>1702</v>
      </c>
      <c r="K613" s="11" t="s">
        <v>2338</v>
      </c>
      <c r="L613" s="18">
        <f t="shared" si="18"/>
        <v>0.8</v>
      </c>
      <c r="M613" s="15" t="str">
        <f t="shared" si="19"/>
        <v>5</v>
      </c>
    </row>
    <row r="614" spans="1:13" ht="56.25" customHeight="1" x14ac:dyDescent="0.3">
      <c r="A614" s="7">
        <v>612</v>
      </c>
      <c r="B614" s="7" t="s">
        <v>2339</v>
      </c>
      <c r="C614" s="7" t="s">
        <v>2340</v>
      </c>
      <c r="D614" s="8">
        <v>0.95</v>
      </c>
      <c r="H614" s="10" t="s">
        <v>2335</v>
      </c>
      <c r="I614" s="11" t="s">
        <v>2336</v>
      </c>
      <c r="J614" s="10" t="s">
        <v>703</v>
      </c>
      <c r="K614" s="11" t="s">
        <v>2341</v>
      </c>
      <c r="L614" s="18">
        <f t="shared" si="18"/>
        <v>0.11</v>
      </c>
      <c r="M614" s="15" t="str">
        <f t="shared" si="19"/>
        <v>5</v>
      </c>
    </row>
    <row r="615" spans="1:13" ht="56.25" customHeight="1" x14ac:dyDescent="0.3">
      <c r="A615" s="5">
        <v>613</v>
      </c>
      <c r="B615" s="5" t="s">
        <v>2099</v>
      </c>
      <c r="C615" s="5" t="s">
        <v>2342</v>
      </c>
      <c r="D615" s="6">
        <v>0.95</v>
      </c>
      <c r="H615" s="11" t="s">
        <v>2343</v>
      </c>
      <c r="I615" s="11" t="s">
        <v>2344</v>
      </c>
      <c r="J615" s="11" t="s">
        <v>639</v>
      </c>
      <c r="K615" s="11" t="s">
        <v>1927</v>
      </c>
      <c r="L615" s="18">
        <f t="shared" si="18"/>
        <v>7.5999999999999998E-2</v>
      </c>
      <c r="M615" s="15" t="str">
        <f t="shared" si="19"/>
        <v>5</v>
      </c>
    </row>
    <row r="616" spans="1:13" ht="56.25" customHeight="1" x14ac:dyDescent="0.3">
      <c r="A616" s="7">
        <v>614</v>
      </c>
      <c r="B616" s="7" t="s">
        <v>1371</v>
      </c>
      <c r="C616" s="7" t="s">
        <v>2345</v>
      </c>
      <c r="D616" s="8">
        <v>0.95</v>
      </c>
      <c r="H616" s="10" t="s">
        <v>2343</v>
      </c>
      <c r="I616" s="11" t="s">
        <v>2344</v>
      </c>
      <c r="J616" s="10" t="s">
        <v>703</v>
      </c>
      <c r="K616" s="11" t="s">
        <v>2341</v>
      </c>
      <c r="L616" s="18">
        <f t="shared" si="18"/>
        <v>0.11</v>
      </c>
      <c r="M616" s="15" t="str">
        <f t="shared" si="19"/>
        <v>5</v>
      </c>
    </row>
    <row r="617" spans="1:13" ht="56.25" customHeight="1" x14ac:dyDescent="0.3">
      <c r="A617" s="5">
        <v>615</v>
      </c>
      <c r="B617" s="5" t="s">
        <v>1891</v>
      </c>
      <c r="C617" s="5" t="s">
        <v>2346</v>
      </c>
      <c r="D617" s="6">
        <v>0.95</v>
      </c>
      <c r="H617" s="10" t="s">
        <v>2343</v>
      </c>
      <c r="I617" s="11" t="s">
        <v>2344</v>
      </c>
      <c r="J617" s="10" t="s">
        <v>211</v>
      </c>
      <c r="K617" s="11" t="s">
        <v>2347</v>
      </c>
      <c r="L617" s="18">
        <f t="shared" si="18"/>
        <v>0.01</v>
      </c>
      <c r="M617" s="15" t="str">
        <f t="shared" si="19"/>
        <v>5</v>
      </c>
    </row>
    <row r="618" spans="1:13" ht="56.25" customHeight="1" x14ac:dyDescent="0.3">
      <c r="A618" s="7">
        <v>616</v>
      </c>
      <c r="B618" s="7" t="s">
        <v>2225</v>
      </c>
      <c r="C618" s="7" t="s">
        <v>2348</v>
      </c>
      <c r="D618" s="8">
        <v>0.95</v>
      </c>
      <c r="H618" s="10" t="s">
        <v>2343</v>
      </c>
      <c r="I618" s="11" t="s">
        <v>2344</v>
      </c>
      <c r="J618" s="10" t="s">
        <v>2333</v>
      </c>
      <c r="K618" s="11" t="s">
        <v>2349</v>
      </c>
      <c r="L618" s="18">
        <f t="shared" si="18"/>
        <v>0.95</v>
      </c>
      <c r="M618" s="15" t="str">
        <f t="shared" si="19"/>
        <v>5</v>
      </c>
    </row>
    <row r="619" spans="1:13" ht="56.25" customHeight="1" x14ac:dyDescent="0.3">
      <c r="A619" s="5">
        <v>617</v>
      </c>
      <c r="B619" s="5" t="s">
        <v>2350</v>
      </c>
      <c r="C619" s="5" t="s">
        <v>2351</v>
      </c>
      <c r="D619" s="6">
        <v>0.95</v>
      </c>
      <c r="H619" s="10" t="s">
        <v>2343</v>
      </c>
      <c r="I619" s="11" t="s">
        <v>2344</v>
      </c>
      <c r="J619" s="10" t="s">
        <v>1672</v>
      </c>
      <c r="K619" s="11" t="s">
        <v>1673</v>
      </c>
      <c r="L619" s="18">
        <f t="shared" si="18"/>
        <v>0.79</v>
      </c>
      <c r="M619" s="15" t="str">
        <f t="shared" si="19"/>
        <v>5</v>
      </c>
    </row>
    <row r="620" spans="1:13" ht="56.25" customHeight="1" x14ac:dyDescent="0.3">
      <c r="A620" s="7">
        <v>618</v>
      </c>
      <c r="B620" s="7" t="s">
        <v>2352</v>
      </c>
      <c r="C620" s="7" t="s">
        <v>2353</v>
      </c>
      <c r="D620" s="8">
        <v>0.95</v>
      </c>
      <c r="H620" s="10" t="s">
        <v>2343</v>
      </c>
      <c r="I620" s="11" t="s">
        <v>2344</v>
      </c>
      <c r="J620" s="10" t="s">
        <v>931</v>
      </c>
      <c r="K620" s="11" t="s">
        <v>2354</v>
      </c>
      <c r="L620" s="18">
        <f t="shared" si="18"/>
        <v>0.28999999999999998</v>
      </c>
      <c r="M620" s="15" t="str">
        <f t="shared" si="19"/>
        <v>5</v>
      </c>
    </row>
    <row r="621" spans="1:13" ht="56.25" customHeight="1" x14ac:dyDescent="0.3">
      <c r="A621" s="5">
        <v>619</v>
      </c>
      <c r="B621" s="5" t="s">
        <v>2355</v>
      </c>
      <c r="C621" s="5" t="s">
        <v>2356</v>
      </c>
      <c r="D621" s="6">
        <v>0.95</v>
      </c>
      <c r="H621" s="10" t="s">
        <v>2357</v>
      </c>
      <c r="I621" s="11" t="s">
        <v>2358</v>
      </c>
      <c r="J621" s="10" t="s">
        <v>2324</v>
      </c>
      <c r="K621" s="11" t="s">
        <v>2359</v>
      </c>
      <c r="L621" s="18">
        <f t="shared" si="18"/>
        <v>0.94</v>
      </c>
      <c r="M621" s="15" t="str">
        <f t="shared" si="19"/>
        <v>5</v>
      </c>
    </row>
    <row r="622" spans="1:13" ht="56.25" customHeight="1" x14ac:dyDescent="0.3">
      <c r="A622" s="7">
        <v>620</v>
      </c>
      <c r="B622" s="7" t="s">
        <v>2360</v>
      </c>
      <c r="C622" s="7" t="s">
        <v>2361</v>
      </c>
      <c r="D622" s="8">
        <v>0.95</v>
      </c>
      <c r="H622" s="10" t="s">
        <v>2362</v>
      </c>
      <c r="I622" s="11" t="s">
        <v>2363</v>
      </c>
      <c r="J622" s="10" t="s">
        <v>2324</v>
      </c>
      <c r="K622" s="11" t="s">
        <v>2359</v>
      </c>
      <c r="L622" s="18">
        <f t="shared" si="18"/>
        <v>0.94</v>
      </c>
      <c r="M622" s="15" t="str">
        <f t="shared" si="19"/>
        <v>5</v>
      </c>
    </row>
    <row r="623" spans="1:13" ht="56.25" customHeight="1" x14ac:dyDescent="0.3">
      <c r="A623" s="5">
        <v>621</v>
      </c>
      <c r="B623" s="5" t="s">
        <v>2364</v>
      </c>
      <c r="C623" s="5" t="s">
        <v>2365</v>
      </c>
      <c r="D623" s="6">
        <v>0.95</v>
      </c>
      <c r="H623" s="10" t="s">
        <v>2362</v>
      </c>
      <c r="I623" s="11" t="s">
        <v>2363</v>
      </c>
      <c r="J623" s="10" t="s">
        <v>2366</v>
      </c>
      <c r="K623" s="11" t="s">
        <v>2367</v>
      </c>
      <c r="L623" s="18" t="str">
        <f t="shared" si="18"/>
        <v/>
      </c>
      <c r="M623" s="15" t="str">
        <f t="shared" si="19"/>
        <v>5</v>
      </c>
    </row>
    <row r="624" spans="1:13" ht="56.25" customHeight="1" x14ac:dyDescent="0.3">
      <c r="A624" s="7">
        <v>622</v>
      </c>
      <c r="B624" s="7" t="s">
        <v>2368</v>
      </c>
      <c r="C624" s="7" t="s">
        <v>2369</v>
      </c>
      <c r="D624" s="8">
        <v>0.95</v>
      </c>
      <c r="H624" s="10" t="s">
        <v>2370</v>
      </c>
      <c r="I624" s="11" t="s">
        <v>2371</v>
      </c>
      <c r="J624" s="10" t="s">
        <v>1415</v>
      </c>
      <c r="K624" s="11" t="s">
        <v>2372</v>
      </c>
      <c r="L624" s="18">
        <f t="shared" si="18"/>
        <v>0.66</v>
      </c>
      <c r="M624" s="15" t="str">
        <f t="shared" si="19"/>
        <v>5</v>
      </c>
    </row>
    <row r="625" spans="1:13" ht="56.25" customHeight="1" x14ac:dyDescent="0.3">
      <c r="A625" s="5">
        <v>623</v>
      </c>
      <c r="B625" s="5" t="s">
        <v>2373</v>
      </c>
      <c r="C625" s="5" t="s">
        <v>2374</v>
      </c>
      <c r="D625" s="6">
        <v>0.95</v>
      </c>
      <c r="H625" s="10" t="s">
        <v>2375</v>
      </c>
      <c r="I625" s="11" t="s">
        <v>2376</v>
      </c>
      <c r="J625" s="10" t="s">
        <v>1238</v>
      </c>
      <c r="K625" s="11" t="s">
        <v>1239</v>
      </c>
      <c r="L625" s="18" t="str">
        <f t="shared" si="18"/>
        <v/>
      </c>
      <c r="M625" s="15" t="str">
        <f t="shared" si="19"/>
        <v>5</v>
      </c>
    </row>
    <row r="626" spans="1:13" ht="56.25" customHeight="1" x14ac:dyDescent="0.3">
      <c r="A626" s="7">
        <v>624</v>
      </c>
      <c r="B626" s="7" t="s">
        <v>2377</v>
      </c>
      <c r="C626" s="7" t="s">
        <v>2378</v>
      </c>
      <c r="D626" s="8">
        <v>0.95</v>
      </c>
      <c r="H626" s="11" t="s">
        <v>2379</v>
      </c>
      <c r="I626" s="11" t="s">
        <v>2380</v>
      </c>
      <c r="J626" s="11" t="s">
        <v>639</v>
      </c>
      <c r="K626" s="11" t="s">
        <v>1927</v>
      </c>
      <c r="L626" s="18">
        <f t="shared" si="18"/>
        <v>7.5999999999999998E-2</v>
      </c>
      <c r="M626" s="15" t="str">
        <f t="shared" si="19"/>
        <v>5</v>
      </c>
    </row>
    <row r="627" spans="1:13" ht="56.25" customHeight="1" x14ac:dyDescent="0.3">
      <c r="A627" s="5">
        <v>625</v>
      </c>
      <c r="B627" s="5" t="s">
        <v>2063</v>
      </c>
      <c r="C627" s="5" t="s">
        <v>2381</v>
      </c>
      <c r="D627" s="6">
        <v>0.95</v>
      </c>
      <c r="H627" s="10" t="s">
        <v>2379</v>
      </c>
      <c r="I627" s="11" t="s">
        <v>2380</v>
      </c>
      <c r="J627" s="10" t="s">
        <v>1580</v>
      </c>
      <c r="K627" s="11" t="s">
        <v>2256</v>
      </c>
      <c r="L627" s="18">
        <f t="shared" si="18"/>
        <v>0.74</v>
      </c>
      <c r="M627" s="15" t="str">
        <f t="shared" si="19"/>
        <v>5</v>
      </c>
    </row>
    <row r="628" spans="1:13" ht="56.25" customHeight="1" x14ac:dyDescent="0.3">
      <c r="A628" s="7">
        <v>626</v>
      </c>
      <c r="B628" s="7" t="s">
        <v>2382</v>
      </c>
      <c r="C628" s="7" t="s">
        <v>2383</v>
      </c>
      <c r="D628" s="8">
        <v>0.95</v>
      </c>
      <c r="H628" s="10" t="s">
        <v>2379</v>
      </c>
      <c r="I628" s="11" t="s">
        <v>2380</v>
      </c>
      <c r="J628" s="10" t="s">
        <v>2366</v>
      </c>
      <c r="K628" s="11" t="s">
        <v>2367</v>
      </c>
      <c r="L628" s="18" t="str">
        <f t="shared" si="18"/>
        <v/>
      </c>
      <c r="M628" s="15" t="str">
        <f t="shared" si="19"/>
        <v>5</v>
      </c>
    </row>
    <row r="629" spans="1:13" ht="56.25" customHeight="1" x14ac:dyDescent="0.3">
      <c r="A629" s="5">
        <v>627</v>
      </c>
      <c r="B629" s="5" t="s">
        <v>2217</v>
      </c>
      <c r="C629" s="5" t="s">
        <v>2384</v>
      </c>
      <c r="D629" s="6">
        <v>0.96</v>
      </c>
      <c r="H629" s="10" t="s">
        <v>2385</v>
      </c>
      <c r="I629" s="11" t="s">
        <v>2386</v>
      </c>
      <c r="J629" s="10" t="s">
        <v>1202</v>
      </c>
      <c r="K629" s="11" t="s">
        <v>1203</v>
      </c>
      <c r="L629" s="18">
        <f t="shared" si="18"/>
        <v>0.54</v>
      </c>
      <c r="M629" s="15" t="str">
        <f t="shared" si="19"/>
        <v>5</v>
      </c>
    </row>
    <row r="630" spans="1:13" ht="56.25" customHeight="1" x14ac:dyDescent="0.3">
      <c r="A630" s="7">
        <v>628</v>
      </c>
      <c r="B630" s="7" t="s">
        <v>2114</v>
      </c>
      <c r="C630" s="7" t="s">
        <v>2387</v>
      </c>
      <c r="D630" s="8">
        <v>0.96</v>
      </c>
      <c r="H630" s="10" t="s">
        <v>2385</v>
      </c>
      <c r="I630" s="11" t="s">
        <v>2386</v>
      </c>
      <c r="J630" s="10" t="s">
        <v>1011</v>
      </c>
      <c r="K630" s="11" t="s">
        <v>2388</v>
      </c>
      <c r="L630" s="18">
        <f t="shared" si="18"/>
        <v>0.37</v>
      </c>
      <c r="M630" s="15" t="str">
        <f t="shared" si="19"/>
        <v>5</v>
      </c>
    </row>
    <row r="631" spans="1:13" ht="56.25" customHeight="1" x14ac:dyDescent="0.3">
      <c r="A631" s="5">
        <v>629</v>
      </c>
      <c r="B631" s="5" t="s">
        <v>2037</v>
      </c>
      <c r="C631" s="5" t="s">
        <v>2389</v>
      </c>
      <c r="D631" s="6">
        <v>0.96</v>
      </c>
      <c r="H631" s="10" t="s">
        <v>2385</v>
      </c>
      <c r="I631" s="11" t="s">
        <v>2386</v>
      </c>
      <c r="J631" s="10" t="s">
        <v>2390</v>
      </c>
      <c r="K631" s="11" t="s">
        <v>2391</v>
      </c>
      <c r="L631" s="18" t="str">
        <f t="shared" si="18"/>
        <v/>
      </c>
      <c r="M631" s="15" t="str">
        <f t="shared" si="19"/>
        <v>5</v>
      </c>
    </row>
    <row r="632" spans="1:13" ht="56.25" customHeight="1" x14ac:dyDescent="0.3">
      <c r="A632" s="7">
        <v>630</v>
      </c>
      <c r="B632" s="7" t="s">
        <v>143</v>
      </c>
      <c r="C632" s="7" t="s">
        <v>2392</v>
      </c>
      <c r="D632" s="8">
        <v>0.96</v>
      </c>
      <c r="H632" s="10" t="s">
        <v>2393</v>
      </c>
      <c r="I632" s="11" t="s">
        <v>2394</v>
      </c>
      <c r="J632" s="10" t="s">
        <v>1554</v>
      </c>
      <c r="K632" s="11" t="s">
        <v>1555</v>
      </c>
      <c r="L632" s="18">
        <f t="shared" si="18"/>
        <v>0.86</v>
      </c>
      <c r="M632" s="15" t="str">
        <f t="shared" si="19"/>
        <v>5</v>
      </c>
    </row>
    <row r="633" spans="1:13" ht="56.25" customHeight="1" x14ac:dyDescent="0.3">
      <c r="A633" s="5">
        <v>631</v>
      </c>
      <c r="B633" s="5" t="s">
        <v>2120</v>
      </c>
      <c r="C633" s="5" t="s">
        <v>2395</v>
      </c>
      <c r="D633" s="6">
        <v>0.96</v>
      </c>
      <c r="H633" s="11" t="s">
        <v>2393</v>
      </c>
      <c r="I633" s="11" t="s">
        <v>2394</v>
      </c>
      <c r="J633" s="11" t="s">
        <v>639</v>
      </c>
      <c r="K633" s="11" t="s">
        <v>1927</v>
      </c>
      <c r="L633" s="18">
        <f t="shared" si="18"/>
        <v>7.5999999999999998E-2</v>
      </c>
      <c r="M633" s="15" t="str">
        <f t="shared" si="19"/>
        <v>5</v>
      </c>
    </row>
    <row r="634" spans="1:13" ht="56.25" customHeight="1" x14ac:dyDescent="0.3">
      <c r="A634" s="7">
        <v>632</v>
      </c>
      <c r="B634" s="7" t="s">
        <v>2396</v>
      </c>
      <c r="C634" s="7" t="s">
        <v>2397</v>
      </c>
      <c r="D634" s="8">
        <v>0.96</v>
      </c>
      <c r="H634" s="10" t="s">
        <v>2393</v>
      </c>
      <c r="I634" s="11" t="s">
        <v>2394</v>
      </c>
      <c r="J634" s="10" t="s">
        <v>685</v>
      </c>
      <c r="K634" s="11" t="s">
        <v>2398</v>
      </c>
      <c r="L634" s="18">
        <f t="shared" si="18"/>
        <v>0.1</v>
      </c>
      <c r="M634" s="15" t="str">
        <f t="shared" si="19"/>
        <v>5</v>
      </c>
    </row>
    <row r="635" spans="1:13" ht="56.25" customHeight="1" x14ac:dyDescent="0.3">
      <c r="A635" s="5">
        <v>633</v>
      </c>
      <c r="B635" s="5" t="s">
        <v>2399</v>
      </c>
      <c r="C635" s="5" t="s">
        <v>2400</v>
      </c>
      <c r="D635" s="6">
        <v>0.96</v>
      </c>
      <c r="H635" s="10" t="s">
        <v>2393</v>
      </c>
      <c r="I635" s="11" t="s">
        <v>2394</v>
      </c>
      <c r="J635" s="10" t="s">
        <v>1747</v>
      </c>
      <c r="K635" s="11" t="s">
        <v>2401</v>
      </c>
      <c r="L635" s="18">
        <f t="shared" si="18"/>
        <v>0.82</v>
      </c>
      <c r="M635" s="15" t="str">
        <f t="shared" si="19"/>
        <v>5</v>
      </c>
    </row>
    <row r="636" spans="1:13" ht="56.25" customHeight="1" x14ac:dyDescent="0.3">
      <c r="A636" s="7">
        <v>634</v>
      </c>
      <c r="B636" s="7" t="s">
        <v>2043</v>
      </c>
      <c r="C636" s="7" t="s">
        <v>2402</v>
      </c>
      <c r="D636" s="8">
        <v>0.96</v>
      </c>
      <c r="H636" s="10" t="s">
        <v>2403</v>
      </c>
      <c r="I636" s="11" t="s">
        <v>2404</v>
      </c>
      <c r="J636" s="10" t="s">
        <v>742</v>
      </c>
      <c r="K636" s="11" t="s">
        <v>874</v>
      </c>
      <c r="L636" s="18">
        <f t="shared" si="18"/>
        <v>0.13</v>
      </c>
      <c r="M636" s="15" t="str">
        <f t="shared" si="19"/>
        <v>5</v>
      </c>
    </row>
    <row r="637" spans="1:13" ht="56.25" customHeight="1" x14ac:dyDescent="0.3">
      <c r="A637" s="5">
        <v>635</v>
      </c>
      <c r="B637" s="5" t="s">
        <v>1261</v>
      </c>
      <c r="C637" s="5" t="s">
        <v>2405</v>
      </c>
      <c r="D637" s="6">
        <v>0.96</v>
      </c>
      <c r="H637" s="10" t="s">
        <v>2406</v>
      </c>
      <c r="I637" s="11" t="s">
        <v>2407</v>
      </c>
      <c r="J637" s="10" t="s">
        <v>2408</v>
      </c>
      <c r="K637" s="11" t="s">
        <v>2409</v>
      </c>
      <c r="L637" s="18">
        <f t="shared" si="18"/>
        <v>0.97</v>
      </c>
      <c r="M637" s="15" t="str">
        <f t="shared" si="19"/>
        <v>5</v>
      </c>
    </row>
    <row r="638" spans="1:13" ht="56.25" customHeight="1" x14ac:dyDescent="0.3">
      <c r="A638" s="7">
        <v>636</v>
      </c>
      <c r="B638" s="7" t="s">
        <v>2410</v>
      </c>
      <c r="C638" s="7" t="s">
        <v>2411</v>
      </c>
      <c r="D638" s="8">
        <v>0.96</v>
      </c>
      <c r="H638" s="10" t="s">
        <v>2406</v>
      </c>
      <c r="I638" s="11" t="s">
        <v>2407</v>
      </c>
      <c r="J638" s="10" t="s">
        <v>2366</v>
      </c>
      <c r="K638" s="11" t="s">
        <v>2367</v>
      </c>
      <c r="L638" s="18" t="str">
        <f t="shared" si="18"/>
        <v/>
      </c>
      <c r="M638" s="15" t="str">
        <f t="shared" si="19"/>
        <v>5</v>
      </c>
    </row>
    <row r="639" spans="1:13" ht="56.25" customHeight="1" x14ac:dyDescent="0.3">
      <c r="A639" s="5">
        <v>637</v>
      </c>
      <c r="B639" s="5" t="s">
        <v>2412</v>
      </c>
      <c r="C639" s="5" t="s">
        <v>2413</v>
      </c>
      <c r="D639" s="6">
        <v>0.96</v>
      </c>
      <c r="H639" s="11" t="s">
        <v>2414</v>
      </c>
      <c r="I639" s="11" t="s">
        <v>2407</v>
      </c>
      <c r="J639" s="11" t="s">
        <v>639</v>
      </c>
      <c r="K639" s="11" t="s">
        <v>1927</v>
      </c>
      <c r="L639" s="18">
        <f t="shared" si="18"/>
        <v>7.5999999999999998E-2</v>
      </c>
      <c r="M639" s="15" t="str">
        <f t="shared" si="19"/>
        <v>5</v>
      </c>
    </row>
    <row r="640" spans="1:13" ht="56.25" customHeight="1" x14ac:dyDescent="0.3">
      <c r="A640" s="7">
        <v>638</v>
      </c>
      <c r="B640" s="7" t="s">
        <v>2415</v>
      </c>
      <c r="C640" s="7" t="s">
        <v>2416</v>
      </c>
      <c r="D640" s="8">
        <v>0.96</v>
      </c>
      <c r="H640" s="10" t="s">
        <v>2414</v>
      </c>
      <c r="I640" s="11" t="s">
        <v>2407</v>
      </c>
      <c r="J640" s="10" t="s">
        <v>123</v>
      </c>
      <c r="K640" s="11" t="s">
        <v>2417</v>
      </c>
      <c r="L640" s="18">
        <f t="shared" si="18"/>
        <v>6.1000000000000004E-3</v>
      </c>
      <c r="M640" s="15" t="str">
        <f t="shared" si="19"/>
        <v>5</v>
      </c>
    </row>
    <row r="641" spans="1:13" ht="56.25" customHeight="1" x14ac:dyDescent="0.3">
      <c r="A641" s="5">
        <v>639</v>
      </c>
      <c r="B641" s="5" t="s">
        <v>2073</v>
      </c>
      <c r="C641" s="5" t="s">
        <v>2418</v>
      </c>
      <c r="D641" s="6">
        <v>0.96</v>
      </c>
      <c r="H641" s="10" t="s">
        <v>2414</v>
      </c>
      <c r="I641" s="11" t="s">
        <v>2407</v>
      </c>
      <c r="J641" s="10" t="s">
        <v>610</v>
      </c>
      <c r="K641" s="11" t="s">
        <v>2419</v>
      </c>
      <c r="L641" s="18">
        <f t="shared" si="18"/>
        <v>6.4000000000000001E-2</v>
      </c>
      <c r="M641" s="15" t="str">
        <f t="shared" si="19"/>
        <v>5</v>
      </c>
    </row>
    <row r="642" spans="1:13" ht="56.25" customHeight="1" x14ac:dyDescent="0.3">
      <c r="A642" s="7">
        <v>640</v>
      </c>
      <c r="B642" s="7" t="s">
        <v>2420</v>
      </c>
      <c r="C642" s="7" t="s">
        <v>2421</v>
      </c>
      <c r="D642" s="8">
        <v>0.96</v>
      </c>
      <c r="H642" s="10" t="s">
        <v>2422</v>
      </c>
      <c r="I642" s="11" t="s">
        <v>2423</v>
      </c>
      <c r="J642" s="10" t="s">
        <v>2320</v>
      </c>
      <c r="K642" s="11" t="s">
        <v>2424</v>
      </c>
      <c r="L642" s="18">
        <f t="shared" si="18"/>
        <v>0.94</v>
      </c>
      <c r="M642" s="15" t="str">
        <f t="shared" si="19"/>
        <v>5</v>
      </c>
    </row>
    <row r="643" spans="1:13" ht="56.25" customHeight="1" x14ac:dyDescent="0.3">
      <c r="A643" s="5">
        <v>641</v>
      </c>
      <c r="B643" s="5" t="s">
        <v>2315</v>
      </c>
      <c r="C643" s="5" t="s">
        <v>2425</v>
      </c>
      <c r="D643" s="6">
        <v>0.96</v>
      </c>
      <c r="H643" s="10" t="s">
        <v>2426</v>
      </c>
      <c r="I643" s="11" t="s">
        <v>2427</v>
      </c>
      <c r="J643" s="10" t="s">
        <v>1893</v>
      </c>
      <c r="K643" s="11" t="s">
        <v>2330</v>
      </c>
      <c r="L643" s="18">
        <f t="shared" ref="L643:L706" si="20">IFERROR(INDEX($D$3:$D$704,MATCH(TRIM(J643),$B$3:$B$704,0)),"")</f>
        <v>0.86</v>
      </c>
      <c r="M643" s="15" t="str">
        <f t="shared" ref="M643:M706" si="21">LEFT(TEXT(H643,"0000")*0.1)</f>
        <v>5</v>
      </c>
    </row>
    <row r="644" spans="1:13" ht="56.25" customHeight="1" x14ac:dyDescent="0.3">
      <c r="A644" s="7">
        <v>642</v>
      </c>
      <c r="B644" s="7" t="s">
        <v>2428</v>
      </c>
      <c r="C644" s="7" t="s">
        <v>2429</v>
      </c>
      <c r="D644" s="8">
        <v>0.96</v>
      </c>
      <c r="H644" s="10" t="s">
        <v>2426</v>
      </c>
      <c r="I644" s="11" t="s">
        <v>2427</v>
      </c>
      <c r="J644" s="10" t="s">
        <v>2320</v>
      </c>
      <c r="K644" s="11" t="s">
        <v>2424</v>
      </c>
      <c r="L644" s="18">
        <f t="shared" si="20"/>
        <v>0.94</v>
      </c>
      <c r="M644" s="15" t="str">
        <f t="shared" si="21"/>
        <v>5</v>
      </c>
    </row>
    <row r="645" spans="1:13" ht="56.25" customHeight="1" x14ac:dyDescent="0.3">
      <c r="A645" s="5">
        <v>643</v>
      </c>
      <c r="B645" s="5" t="s">
        <v>2165</v>
      </c>
      <c r="C645" s="5" t="s">
        <v>2430</v>
      </c>
      <c r="D645" s="6">
        <v>0.96</v>
      </c>
      <c r="H645" s="10" t="s">
        <v>2431</v>
      </c>
      <c r="I645" s="11" t="s">
        <v>2432</v>
      </c>
      <c r="J645" s="10" t="s">
        <v>104</v>
      </c>
      <c r="K645" s="11" t="s">
        <v>105</v>
      </c>
      <c r="L645" s="18">
        <f t="shared" si="20"/>
        <v>0.16</v>
      </c>
      <c r="M645" s="15" t="str">
        <f t="shared" si="21"/>
        <v>5</v>
      </c>
    </row>
    <row r="646" spans="1:13" ht="56.25" customHeight="1" x14ac:dyDescent="0.3">
      <c r="A646" s="7">
        <v>644</v>
      </c>
      <c r="B646" s="7" t="s">
        <v>2433</v>
      </c>
      <c r="C646" s="7" t="s">
        <v>2434</v>
      </c>
      <c r="D646" s="8">
        <v>0.97</v>
      </c>
      <c r="H646" s="10" t="s">
        <v>2435</v>
      </c>
      <c r="I646" s="11" t="s">
        <v>2436</v>
      </c>
      <c r="J646" s="10" t="s">
        <v>917</v>
      </c>
      <c r="K646" s="11" t="s">
        <v>2437</v>
      </c>
      <c r="L646" s="18">
        <f t="shared" si="20"/>
        <v>0.28000000000000003</v>
      </c>
      <c r="M646" s="15" t="str">
        <f t="shared" si="21"/>
        <v>5</v>
      </c>
    </row>
    <row r="647" spans="1:13" ht="56.25" customHeight="1" x14ac:dyDescent="0.3">
      <c r="A647" s="5">
        <v>645</v>
      </c>
      <c r="B647" s="5" t="s">
        <v>2438</v>
      </c>
      <c r="C647" s="5" t="s">
        <v>2439</v>
      </c>
      <c r="D647" s="6">
        <v>0.97</v>
      </c>
      <c r="H647" s="10" t="s">
        <v>2440</v>
      </c>
      <c r="I647" s="11" t="s">
        <v>2441</v>
      </c>
      <c r="J647" s="10" t="s">
        <v>2442</v>
      </c>
      <c r="K647" s="11" t="s">
        <v>2443</v>
      </c>
      <c r="L647" s="18">
        <f t="shared" si="20"/>
        <v>0.98</v>
      </c>
      <c r="M647" s="15" t="str">
        <f t="shared" si="21"/>
        <v>5</v>
      </c>
    </row>
    <row r="648" spans="1:13" ht="56.25" customHeight="1" x14ac:dyDescent="0.3">
      <c r="A648" s="7">
        <v>646</v>
      </c>
      <c r="B648" s="7" t="s">
        <v>2444</v>
      </c>
      <c r="C648" s="7" t="s">
        <v>2445</v>
      </c>
      <c r="D648" s="8">
        <v>0.97</v>
      </c>
      <c r="H648" s="10" t="s">
        <v>2440</v>
      </c>
      <c r="I648" s="11" t="s">
        <v>2441</v>
      </c>
      <c r="J648" s="10" t="s">
        <v>2191</v>
      </c>
      <c r="K648" s="11" t="s">
        <v>2446</v>
      </c>
      <c r="L648" s="18">
        <f t="shared" si="20"/>
        <v>0.92</v>
      </c>
      <c r="M648" s="15" t="str">
        <f t="shared" si="21"/>
        <v>5</v>
      </c>
    </row>
    <row r="649" spans="1:13" ht="56.25" customHeight="1" x14ac:dyDescent="0.3">
      <c r="A649" s="5">
        <v>647</v>
      </c>
      <c r="B649" s="5" t="s">
        <v>2447</v>
      </c>
      <c r="C649" s="5" t="s">
        <v>2448</v>
      </c>
      <c r="D649" s="6">
        <v>0.97</v>
      </c>
      <c r="H649" s="10" t="s">
        <v>2449</v>
      </c>
      <c r="I649" s="11" t="s">
        <v>2450</v>
      </c>
      <c r="J649" s="10" t="s">
        <v>2451</v>
      </c>
      <c r="K649" s="11" t="s">
        <v>2452</v>
      </c>
      <c r="L649" s="18">
        <f t="shared" si="20"/>
        <v>0.97</v>
      </c>
      <c r="M649" s="15" t="str">
        <f t="shared" si="21"/>
        <v>5</v>
      </c>
    </row>
    <row r="650" spans="1:13" ht="56.25" customHeight="1" x14ac:dyDescent="0.3">
      <c r="A650" s="7">
        <v>648</v>
      </c>
      <c r="B650" s="7" t="s">
        <v>2453</v>
      </c>
      <c r="C650" s="7" t="s">
        <v>2454</v>
      </c>
      <c r="D650" s="8">
        <v>0.97</v>
      </c>
      <c r="H650" s="10" t="s">
        <v>2449</v>
      </c>
      <c r="I650" s="11" t="s">
        <v>2450</v>
      </c>
      <c r="J650" s="10" t="s">
        <v>1815</v>
      </c>
      <c r="K650" s="11" t="s">
        <v>2455</v>
      </c>
      <c r="L650" s="18">
        <f t="shared" si="20"/>
        <v>0.83</v>
      </c>
      <c r="M650" s="15" t="str">
        <f t="shared" si="21"/>
        <v>5</v>
      </c>
    </row>
    <row r="651" spans="1:13" ht="56.25" customHeight="1" x14ac:dyDescent="0.3">
      <c r="A651" s="5">
        <v>649</v>
      </c>
      <c r="B651" s="5" t="s">
        <v>1762</v>
      </c>
      <c r="C651" s="5" t="s">
        <v>2456</v>
      </c>
      <c r="D651" s="6">
        <v>0.97</v>
      </c>
      <c r="H651" s="10" t="s">
        <v>2457</v>
      </c>
      <c r="I651" s="11" t="s">
        <v>2458</v>
      </c>
      <c r="J651" s="10" t="s">
        <v>2459</v>
      </c>
      <c r="K651" s="11" t="s">
        <v>2460</v>
      </c>
      <c r="L651" s="18">
        <f t="shared" si="20"/>
        <v>0.98</v>
      </c>
      <c r="M651" s="15" t="str">
        <f t="shared" si="21"/>
        <v>5</v>
      </c>
    </row>
    <row r="652" spans="1:13" ht="56.25" customHeight="1" x14ac:dyDescent="0.3">
      <c r="A652" s="7">
        <v>650</v>
      </c>
      <c r="B652" s="7" t="s">
        <v>2461</v>
      </c>
      <c r="C652" s="7" t="s">
        <v>2462</v>
      </c>
      <c r="D652" s="8">
        <v>0.97</v>
      </c>
      <c r="H652" s="10" t="s">
        <v>2463</v>
      </c>
      <c r="I652" s="11" t="s">
        <v>2464</v>
      </c>
      <c r="J652" s="10" t="s">
        <v>1179</v>
      </c>
      <c r="K652" s="11" t="s">
        <v>2465</v>
      </c>
      <c r="L652" s="18">
        <f t="shared" si="20"/>
        <v>0.51</v>
      </c>
      <c r="M652" s="15" t="str">
        <f t="shared" si="21"/>
        <v>5</v>
      </c>
    </row>
    <row r="653" spans="1:13" ht="56.25" customHeight="1" x14ac:dyDescent="0.3">
      <c r="A653" s="5">
        <v>651</v>
      </c>
      <c r="B653" s="5" t="s">
        <v>1528</v>
      </c>
      <c r="C653" s="5" t="s">
        <v>2466</v>
      </c>
      <c r="D653" s="6">
        <v>0.97</v>
      </c>
      <c r="H653" s="10" t="s">
        <v>2467</v>
      </c>
      <c r="I653" s="11" t="s">
        <v>2468</v>
      </c>
      <c r="J653" s="10" t="s">
        <v>2320</v>
      </c>
      <c r="K653" s="11" t="s">
        <v>2424</v>
      </c>
      <c r="L653" s="18">
        <f t="shared" si="20"/>
        <v>0.94</v>
      </c>
      <c r="M653" s="15" t="str">
        <f t="shared" si="21"/>
        <v>5</v>
      </c>
    </row>
    <row r="654" spans="1:13" ht="56.25" customHeight="1" x14ac:dyDescent="0.3">
      <c r="A654" s="7">
        <v>652</v>
      </c>
      <c r="B654" s="7" t="s">
        <v>2469</v>
      </c>
      <c r="C654" s="7" t="s">
        <v>2470</v>
      </c>
      <c r="D654" s="8">
        <v>0.97</v>
      </c>
      <c r="H654" s="10" t="s">
        <v>2471</v>
      </c>
      <c r="I654" s="11" t="s">
        <v>2472</v>
      </c>
      <c r="J654" s="10" t="s">
        <v>2473</v>
      </c>
      <c r="K654" s="11" t="s">
        <v>2474</v>
      </c>
      <c r="L654" s="18">
        <f t="shared" si="20"/>
        <v>0.99</v>
      </c>
      <c r="M654" s="15" t="str">
        <f t="shared" si="21"/>
        <v>5</v>
      </c>
    </row>
    <row r="655" spans="1:13" ht="56.25" customHeight="1" x14ac:dyDescent="0.3">
      <c r="A655" s="5">
        <v>653</v>
      </c>
      <c r="B655" s="5" t="s">
        <v>2475</v>
      </c>
      <c r="C655" s="5" t="s">
        <v>2476</v>
      </c>
      <c r="D655" s="6">
        <v>0.97</v>
      </c>
      <c r="H655" s="10" t="s">
        <v>2477</v>
      </c>
      <c r="I655" s="11" t="s">
        <v>2478</v>
      </c>
      <c r="J655" s="10" t="s">
        <v>439</v>
      </c>
      <c r="K655" s="11" t="s">
        <v>1455</v>
      </c>
      <c r="L655" s="18">
        <f t="shared" si="20"/>
        <v>2.9000000000000001E-2</v>
      </c>
      <c r="M655" s="15" t="str">
        <f t="shared" si="21"/>
        <v>5</v>
      </c>
    </row>
    <row r="656" spans="1:13" ht="56.25" customHeight="1" x14ac:dyDescent="0.3">
      <c r="A656" s="7">
        <v>654</v>
      </c>
      <c r="B656" s="7" t="s">
        <v>2479</v>
      </c>
      <c r="C656" s="7" t="s">
        <v>2480</v>
      </c>
      <c r="D656" s="8">
        <v>0.97</v>
      </c>
      <c r="H656" s="10" t="s">
        <v>2477</v>
      </c>
      <c r="I656" s="11" t="s">
        <v>2478</v>
      </c>
      <c r="J656" s="10" t="s">
        <v>1800</v>
      </c>
      <c r="K656" s="11" t="s">
        <v>2481</v>
      </c>
      <c r="L656" s="18">
        <f t="shared" si="20"/>
        <v>0.83</v>
      </c>
      <c r="M656" s="15" t="str">
        <f t="shared" si="21"/>
        <v>5</v>
      </c>
    </row>
    <row r="657" spans="1:13" ht="56.25" customHeight="1" x14ac:dyDescent="0.3">
      <c r="A657" s="5">
        <v>655</v>
      </c>
      <c r="B657" s="5" t="s">
        <v>2482</v>
      </c>
      <c r="C657" s="5" t="s">
        <v>2483</v>
      </c>
      <c r="D657" s="6">
        <v>0.97</v>
      </c>
      <c r="H657" s="10" t="s">
        <v>2484</v>
      </c>
      <c r="I657" s="11" t="s">
        <v>2485</v>
      </c>
      <c r="J657" s="10" t="s">
        <v>2197</v>
      </c>
      <c r="K657" s="11" t="s">
        <v>2486</v>
      </c>
      <c r="L657" s="18">
        <f t="shared" si="20"/>
        <v>0.92</v>
      </c>
      <c r="M657" s="15" t="str">
        <f t="shared" si="21"/>
        <v>5</v>
      </c>
    </row>
    <row r="658" spans="1:13" ht="56.25" customHeight="1" x14ac:dyDescent="0.3">
      <c r="A658" s="7">
        <v>656</v>
      </c>
      <c r="B658" s="7" t="s">
        <v>2487</v>
      </c>
      <c r="C658" s="7" t="s">
        <v>2488</v>
      </c>
      <c r="D658" s="8">
        <v>0.97</v>
      </c>
      <c r="H658" s="10" t="s">
        <v>2484</v>
      </c>
      <c r="I658" s="11" t="s">
        <v>2485</v>
      </c>
      <c r="J658" s="10" t="s">
        <v>2396</v>
      </c>
      <c r="K658" s="11" t="s">
        <v>2489</v>
      </c>
      <c r="L658" s="18">
        <f t="shared" si="20"/>
        <v>0.96</v>
      </c>
      <c r="M658" s="15" t="str">
        <f t="shared" si="21"/>
        <v>5</v>
      </c>
    </row>
    <row r="659" spans="1:13" ht="56.25" customHeight="1" x14ac:dyDescent="0.3">
      <c r="A659" s="5">
        <v>657</v>
      </c>
      <c r="B659" s="5" t="s">
        <v>2451</v>
      </c>
      <c r="C659" s="5" t="s">
        <v>2452</v>
      </c>
      <c r="D659" s="6">
        <v>0.97</v>
      </c>
      <c r="H659" s="10" t="s">
        <v>2484</v>
      </c>
      <c r="I659" s="11" t="s">
        <v>2485</v>
      </c>
      <c r="J659" s="10" t="s">
        <v>2134</v>
      </c>
      <c r="K659" s="11" t="s">
        <v>2490</v>
      </c>
      <c r="L659" s="18">
        <f t="shared" si="20"/>
        <v>0.91</v>
      </c>
      <c r="M659" s="15" t="str">
        <f t="shared" si="21"/>
        <v>5</v>
      </c>
    </row>
    <row r="660" spans="1:13" ht="56.25" customHeight="1" x14ac:dyDescent="0.3">
      <c r="A660" s="7">
        <v>658</v>
      </c>
      <c r="B660" s="7" t="s">
        <v>2491</v>
      </c>
      <c r="C660" s="7" t="s">
        <v>2492</v>
      </c>
      <c r="D660" s="8">
        <v>0.97</v>
      </c>
      <c r="H660" s="10" t="s">
        <v>2493</v>
      </c>
      <c r="I660" s="11" t="s">
        <v>2494</v>
      </c>
      <c r="J660" s="10" t="s">
        <v>2495</v>
      </c>
      <c r="K660" s="11" t="s">
        <v>2496</v>
      </c>
      <c r="L660" s="18">
        <f t="shared" si="20"/>
        <v>0.97</v>
      </c>
      <c r="M660" s="15" t="str">
        <f t="shared" si="21"/>
        <v>5</v>
      </c>
    </row>
    <row r="661" spans="1:13" ht="56.25" customHeight="1" x14ac:dyDescent="0.3">
      <c r="A661" s="5">
        <v>659</v>
      </c>
      <c r="B661" s="5" t="s">
        <v>2497</v>
      </c>
      <c r="C661" s="5" t="s">
        <v>2498</v>
      </c>
      <c r="D661" s="6">
        <v>0.97</v>
      </c>
      <c r="H661" s="10" t="s">
        <v>2493</v>
      </c>
      <c r="I661" s="11" t="s">
        <v>2494</v>
      </c>
      <c r="J661" s="10" t="s">
        <v>1802</v>
      </c>
      <c r="K661" s="11" t="s">
        <v>1803</v>
      </c>
      <c r="L661" s="18" t="str">
        <f t="shared" si="20"/>
        <v/>
      </c>
      <c r="M661" s="15" t="str">
        <f t="shared" si="21"/>
        <v>5</v>
      </c>
    </row>
    <row r="662" spans="1:13" ht="56.25" customHeight="1" x14ac:dyDescent="0.3">
      <c r="A662" s="7">
        <v>660</v>
      </c>
      <c r="B662" s="7" t="s">
        <v>2499</v>
      </c>
      <c r="C662" s="7" t="s">
        <v>2500</v>
      </c>
      <c r="D662" s="8">
        <v>0.97</v>
      </c>
      <c r="H662" s="11" t="s">
        <v>2501</v>
      </c>
      <c r="I662" s="11" t="s">
        <v>2502</v>
      </c>
      <c r="J662" s="11" t="s">
        <v>639</v>
      </c>
      <c r="K662" s="11" t="s">
        <v>1927</v>
      </c>
      <c r="L662" s="18">
        <f t="shared" si="20"/>
        <v>7.5999999999999998E-2</v>
      </c>
      <c r="M662" s="15" t="str">
        <f t="shared" si="21"/>
        <v>5</v>
      </c>
    </row>
    <row r="663" spans="1:13" ht="56.25" customHeight="1" x14ac:dyDescent="0.3">
      <c r="A663" s="5">
        <v>661</v>
      </c>
      <c r="B663" s="5" t="s">
        <v>2495</v>
      </c>
      <c r="C663" s="5" t="s">
        <v>2503</v>
      </c>
      <c r="D663" s="6">
        <v>0.97</v>
      </c>
      <c r="H663" s="10" t="s">
        <v>2501</v>
      </c>
      <c r="I663" s="11" t="s">
        <v>2502</v>
      </c>
      <c r="J663" s="10" t="s">
        <v>662</v>
      </c>
      <c r="K663" s="11" t="s">
        <v>2504</v>
      </c>
      <c r="L663" s="18">
        <f t="shared" si="20"/>
        <v>8.4000000000000005E-2</v>
      </c>
      <c r="M663" s="15" t="str">
        <f t="shared" si="21"/>
        <v>5</v>
      </c>
    </row>
    <row r="664" spans="1:13" ht="56.25" customHeight="1" x14ac:dyDescent="0.3">
      <c r="A664" s="7">
        <v>662</v>
      </c>
      <c r="B664" s="7" t="s">
        <v>2260</v>
      </c>
      <c r="C664" s="7" t="s">
        <v>2505</v>
      </c>
      <c r="D664" s="8">
        <v>0.97</v>
      </c>
      <c r="H664" s="10" t="s">
        <v>2506</v>
      </c>
      <c r="I664" s="11" t="s">
        <v>2507</v>
      </c>
      <c r="J664" s="10" t="s">
        <v>1234</v>
      </c>
      <c r="K664" s="11" t="s">
        <v>2508</v>
      </c>
      <c r="L664" s="18">
        <f t="shared" si="20"/>
        <v>0.56000000000000005</v>
      </c>
      <c r="M664" s="15" t="str">
        <f t="shared" si="21"/>
        <v>5</v>
      </c>
    </row>
    <row r="665" spans="1:13" ht="56.25" customHeight="1" x14ac:dyDescent="0.3">
      <c r="A665" s="5">
        <v>663</v>
      </c>
      <c r="B665" s="5" t="s">
        <v>1773</v>
      </c>
      <c r="C665" s="5" t="s">
        <v>2509</v>
      </c>
      <c r="D665" s="6">
        <v>0.97</v>
      </c>
      <c r="H665" s="10" t="s">
        <v>2510</v>
      </c>
      <c r="I665" s="11" t="s">
        <v>2511</v>
      </c>
      <c r="J665" s="10" t="s">
        <v>1130</v>
      </c>
      <c r="K665" s="11" t="s">
        <v>2512</v>
      </c>
      <c r="L665" s="18">
        <f t="shared" si="20"/>
        <v>0.47</v>
      </c>
      <c r="M665" s="15" t="str">
        <f t="shared" si="21"/>
        <v>5</v>
      </c>
    </row>
    <row r="666" spans="1:13" ht="56.25" customHeight="1" x14ac:dyDescent="0.3">
      <c r="A666" s="7">
        <v>664</v>
      </c>
      <c r="B666" s="7" t="s">
        <v>2124</v>
      </c>
      <c r="C666" s="7" t="s">
        <v>2513</v>
      </c>
      <c r="D666" s="8">
        <v>0.97</v>
      </c>
      <c r="H666" s="10" t="s">
        <v>2510</v>
      </c>
      <c r="I666" s="11" t="s">
        <v>2511</v>
      </c>
      <c r="J666" s="10" t="s">
        <v>2514</v>
      </c>
      <c r="K666" s="11" t="s">
        <v>2515</v>
      </c>
      <c r="L666" s="18" t="str">
        <f t="shared" si="20"/>
        <v/>
      </c>
      <c r="M666" s="15" t="str">
        <f t="shared" si="21"/>
        <v>5</v>
      </c>
    </row>
    <row r="667" spans="1:13" ht="56.25" customHeight="1" x14ac:dyDescent="0.3">
      <c r="A667" s="5">
        <v>665</v>
      </c>
      <c r="B667" s="5" t="s">
        <v>1438</v>
      </c>
      <c r="C667" s="5" t="s">
        <v>2516</v>
      </c>
      <c r="D667" s="6">
        <v>0.97</v>
      </c>
      <c r="H667" s="10" t="s">
        <v>2517</v>
      </c>
      <c r="I667" s="11" t="s">
        <v>2518</v>
      </c>
      <c r="J667" s="10" t="s">
        <v>1054</v>
      </c>
      <c r="K667" s="11" t="s">
        <v>2519</v>
      </c>
      <c r="L667" s="18">
        <f t="shared" si="20"/>
        <v>0.39</v>
      </c>
      <c r="M667" s="15" t="str">
        <f t="shared" si="21"/>
        <v>5</v>
      </c>
    </row>
    <row r="668" spans="1:13" ht="56.25" customHeight="1" x14ac:dyDescent="0.3">
      <c r="A668" s="7">
        <v>666</v>
      </c>
      <c r="B668" s="7" t="s">
        <v>2195</v>
      </c>
      <c r="C668" s="7" t="s">
        <v>2520</v>
      </c>
      <c r="D668" s="8">
        <v>0.97</v>
      </c>
      <c r="H668" s="11" t="s">
        <v>2517</v>
      </c>
      <c r="I668" s="11" t="s">
        <v>2518</v>
      </c>
      <c r="J668" s="11" t="s">
        <v>639</v>
      </c>
      <c r="K668" s="11" t="s">
        <v>1927</v>
      </c>
      <c r="L668" s="18">
        <f t="shared" si="20"/>
        <v>7.5999999999999998E-2</v>
      </c>
      <c r="M668" s="15" t="str">
        <f t="shared" si="21"/>
        <v>5</v>
      </c>
    </row>
    <row r="669" spans="1:13" ht="56.25" customHeight="1" x14ac:dyDescent="0.3">
      <c r="A669" s="5">
        <v>667</v>
      </c>
      <c r="B669" s="5" t="s">
        <v>2178</v>
      </c>
      <c r="C669" s="5" t="s">
        <v>2521</v>
      </c>
      <c r="D669" s="6">
        <v>0.97</v>
      </c>
      <c r="H669" s="10" t="s">
        <v>2517</v>
      </c>
      <c r="I669" s="11" t="s">
        <v>2518</v>
      </c>
      <c r="J669" s="10" t="s">
        <v>1580</v>
      </c>
      <c r="K669" s="11" t="s">
        <v>2256</v>
      </c>
      <c r="L669" s="18">
        <f t="shared" si="20"/>
        <v>0.74</v>
      </c>
      <c r="M669" s="15" t="str">
        <f t="shared" si="21"/>
        <v>5</v>
      </c>
    </row>
    <row r="670" spans="1:13" ht="56.25" customHeight="1" x14ac:dyDescent="0.3">
      <c r="A670" s="7">
        <v>668</v>
      </c>
      <c r="B670" s="7" t="s">
        <v>2408</v>
      </c>
      <c r="C670" s="7" t="s">
        <v>2522</v>
      </c>
      <c r="D670" s="8">
        <v>0.97</v>
      </c>
      <c r="H670" s="10" t="s">
        <v>2523</v>
      </c>
      <c r="I670" s="11" t="s">
        <v>2524</v>
      </c>
      <c r="J670" s="10" t="s">
        <v>2525</v>
      </c>
      <c r="K670" s="11" t="s">
        <v>2526</v>
      </c>
      <c r="L670" s="18" t="str">
        <f t="shared" si="20"/>
        <v/>
      </c>
      <c r="M670" s="15" t="str">
        <f t="shared" si="21"/>
        <v>5</v>
      </c>
    </row>
    <row r="671" spans="1:13" ht="56.25" customHeight="1" x14ac:dyDescent="0.3">
      <c r="A671" s="5">
        <v>669</v>
      </c>
      <c r="B671" s="5" t="s">
        <v>2459</v>
      </c>
      <c r="C671" s="5" t="s">
        <v>2460</v>
      </c>
      <c r="D671" s="6">
        <v>0.98</v>
      </c>
      <c r="H671" s="11" t="s">
        <v>2523</v>
      </c>
      <c r="I671" s="11" t="s">
        <v>2524</v>
      </c>
      <c r="J671" s="11" t="s">
        <v>909</v>
      </c>
      <c r="K671" s="11" t="s">
        <v>2527</v>
      </c>
      <c r="L671" s="18">
        <f t="shared" si="20"/>
        <v>0.27</v>
      </c>
      <c r="M671" s="15" t="str">
        <f t="shared" si="21"/>
        <v>5</v>
      </c>
    </row>
    <row r="672" spans="1:13" ht="56.25" customHeight="1" x14ac:dyDescent="0.3">
      <c r="A672" s="7">
        <v>670</v>
      </c>
      <c r="B672" s="7" t="s">
        <v>2528</v>
      </c>
      <c r="C672" s="7" t="s">
        <v>2529</v>
      </c>
      <c r="D672" s="8">
        <v>0.98</v>
      </c>
      <c r="H672" s="11" t="s">
        <v>2523</v>
      </c>
      <c r="I672" s="11" t="s">
        <v>2524</v>
      </c>
      <c r="J672" s="11" t="s">
        <v>1305</v>
      </c>
      <c r="K672" s="11" t="s">
        <v>2530</v>
      </c>
      <c r="L672" s="18">
        <f t="shared" si="20"/>
        <v>0.61</v>
      </c>
      <c r="M672" s="15" t="str">
        <f t="shared" si="21"/>
        <v>5</v>
      </c>
    </row>
    <row r="673" spans="1:13" ht="56.25" customHeight="1" x14ac:dyDescent="0.3">
      <c r="A673" s="5">
        <v>671</v>
      </c>
      <c r="B673" s="5" t="s">
        <v>1664</v>
      </c>
      <c r="C673" s="5" t="s">
        <v>2531</v>
      </c>
      <c r="D673" s="6">
        <v>0.98</v>
      </c>
      <c r="H673" s="10" t="s">
        <v>2523</v>
      </c>
      <c r="I673" s="11" t="s">
        <v>2524</v>
      </c>
      <c r="J673" s="10" t="s">
        <v>1183</v>
      </c>
      <c r="K673" s="11" t="s">
        <v>1562</v>
      </c>
      <c r="L673" s="18">
        <f t="shared" si="20"/>
        <v>0.51</v>
      </c>
      <c r="M673" s="15" t="str">
        <f t="shared" si="21"/>
        <v>5</v>
      </c>
    </row>
    <row r="674" spans="1:13" ht="56.25" customHeight="1" x14ac:dyDescent="0.3">
      <c r="A674" s="7">
        <v>672</v>
      </c>
      <c r="B674" s="7" t="s">
        <v>1813</v>
      </c>
      <c r="C674" s="7" t="s">
        <v>1812</v>
      </c>
      <c r="D674" s="8">
        <v>0.98</v>
      </c>
      <c r="H674" s="10" t="s">
        <v>2523</v>
      </c>
      <c r="I674" s="11" t="s">
        <v>2524</v>
      </c>
      <c r="J674" s="10" t="s">
        <v>1645</v>
      </c>
      <c r="K674" s="11" t="s">
        <v>2532</v>
      </c>
      <c r="L674" s="18">
        <f t="shared" si="20"/>
        <v>0.78</v>
      </c>
      <c r="M674" s="15" t="str">
        <f t="shared" si="21"/>
        <v>5</v>
      </c>
    </row>
    <row r="675" spans="1:13" ht="56.25" customHeight="1" x14ac:dyDescent="0.3">
      <c r="A675" s="5">
        <v>673</v>
      </c>
      <c r="B675" s="5" t="s">
        <v>2016</v>
      </c>
      <c r="C675" s="5" t="s">
        <v>2533</v>
      </c>
      <c r="D675" s="6">
        <v>0.98</v>
      </c>
      <c r="H675" s="10" t="s">
        <v>2523</v>
      </c>
      <c r="I675" s="11" t="s">
        <v>2524</v>
      </c>
      <c r="J675" s="10" t="s">
        <v>1526</v>
      </c>
      <c r="K675" s="11" t="s">
        <v>2534</v>
      </c>
      <c r="L675" s="18">
        <f t="shared" si="20"/>
        <v>0.72</v>
      </c>
      <c r="M675" s="15" t="str">
        <f t="shared" si="21"/>
        <v>5</v>
      </c>
    </row>
    <row r="676" spans="1:13" ht="56.25" customHeight="1" x14ac:dyDescent="0.3">
      <c r="A676" s="7">
        <v>674</v>
      </c>
      <c r="B676" s="7" t="s">
        <v>2535</v>
      </c>
      <c r="C676" s="7" t="s">
        <v>2536</v>
      </c>
      <c r="D676" s="8">
        <v>0.98</v>
      </c>
      <c r="H676" s="10" t="s">
        <v>2523</v>
      </c>
      <c r="I676" s="11" t="s">
        <v>2524</v>
      </c>
      <c r="J676" s="10" t="s">
        <v>2537</v>
      </c>
      <c r="K676" s="11" t="s">
        <v>2538</v>
      </c>
      <c r="L676" s="18" t="str">
        <f t="shared" si="20"/>
        <v/>
      </c>
      <c r="M676" s="15" t="str">
        <f t="shared" si="21"/>
        <v>5</v>
      </c>
    </row>
    <row r="677" spans="1:13" ht="56.25" customHeight="1" x14ac:dyDescent="0.3">
      <c r="A677" s="5">
        <v>675</v>
      </c>
      <c r="B677" s="5" t="s">
        <v>1686</v>
      </c>
      <c r="C677" s="5" t="s">
        <v>2539</v>
      </c>
      <c r="D677" s="6">
        <v>0.98</v>
      </c>
      <c r="H677" s="11" t="s">
        <v>2523</v>
      </c>
      <c r="I677" s="11" t="s">
        <v>2524</v>
      </c>
      <c r="J677" s="11" t="s">
        <v>1643</v>
      </c>
      <c r="K677" s="11" t="s">
        <v>1644</v>
      </c>
      <c r="L677" s="18" t="str">
        <f t="shared" si="20"/>
        <v/>
      </c>
      <c r="M677" s="15" t="str">
        <f t="shared" si="21"/>
        <v>5</v>
      </c>
    </row>
    <row r="678" spans="1:13" ht="56.25" customHeight="1" x14ac:dyDescent="0.3">
      <c r="A678" s="7">
        <v>676</v>
      </c>
      <c r="B678" s="7" t="s">
        <v>2442</v>
      </c>
      <c r="C678" s="7" t="s">
        <v>2540</v>
      </c>
      <c r="D678" s="8">
        <v>0.98</v>
      </c>
      <c r="H678" s="11" t="s">
        <v>2541</v>
      </c>
      <c r="I678" s="11" t="s">
        <v>2542</v>
      </c>
      <c r="J678" s="11" t="s">
        <v>45</v>
      </c>
      <c r="K678" s="11" t="s">
        <v>1265</v>
      </c>
      <c r="L678" s="18">
        <f t="shared" si="20"/>
        <v>3.5999999999999999E-3</v>
      </c>
      <c r="M678" s="15" t="str">
        <f t="shared" si="21"/>
        <v>5</v>
      </c>
    </row>
    <row r="679" spans="1:13" ht="56.25" customHeight="1" x14ac:dyDescent="0.3">
      <c r="A679" s="5">
        <v>677</v>
      </c>
      <c r="B679" s="5" t="s">
        <v>929</v>
      </c>
      <c r="C679" s="5" t="s">
        <v>2543</v>
      </c>
      <c r="D679" s="6">
        <v>0.98</v>
      </c>
      <c r="H679" s="10" t="s">
        <v>2541</v>
      </c>
      <c r="I679" s="11" t="s">
        <v>2542</v>
      </c>
      <c r="J679" s="10" t="s">
        <v>779</v>
      </c>
      <c r="K679" s="11" t="s">
        <v>780</v>
      </c>
      <c r="L679" s="18">
        <f t="shared" si="20"/>
        <v>0.17</v>
      </c>
      <c r="M679" s="15" t="str">
        <f t="shared" si="21"/>
        <v>5</v>
      </c>
    </row>
    <row r="680" spans="1:13" ht="56.25" customHeight="1" x14ac:dyDescent="0.3">
      <c r="A680" s="7">
        <v>678</v>
      </c>
      <c r="B680" s="7" t="s">
        <v>2544</v>
      </c>
      <c r="C680" s="7" t="s">
        <v>2545</v>
      </c>
      <c r="D680" s="8">
        <v>0.98</v>
      </c>
      <c r="H680" s="11" t="s">
        <v>2546</v>
      </c>
      <c r="I680" s="11" t="s">
        <v>2547</v>
      </c>
      <c r="J680" s="11" t="s">
        <v>79</v>
      </c>
      <c r="K680" s="11" t="s">
        <v>1838</v>
      </c>
      <c r="L680" s="18">
        <f t="shared" si="20"/>
        <v>4.4000000000000003E-3</v>
      </c>
      <c r="M680" s="15" t="str">
        <f t="shared" si="21"/>
        <v>5</v>
      </c>
    </row>
    <row r="681" spans="1:13" ht="56.25" customHeight="1" x14ac:dyDescent="0.3">
      <c r="A681" s="5">
        <v>679</v>
      </c>
      <c r="B681" s="5" t="s">
        <v>1749</v>
      </c>
      <c r="C681" s="5" t="s">
        <v>2548</v>
      </c>
      <c r="D681" s="6">
        <v>0.98</v>
      </c>
      <c r="H681" s="10" t="s">
        <v>2546</v>
      </c>
      <c r="I681" s="11" t="s">
        <v>2547</v>
      </c>
      <c r="J681" s="10" t="s">
        <v>673</v>
      </c>
      <c r="K681" s="11" t="s">
        <v>1841</v>
      </c>
      <c r="L681" s="18">
        <f t="shared" si="20"/>
        <v>9.8000000000000004E-2</v>
      </c>
      <c r="M681" s="15" t="str">
        <f t="shared" si="21"/>
        <v>5</v>
      </c>
    </row>
    <row r="682" spans="1:13" ht="56.25" customHeight="1" x14ac:dyDescent="0.3">
      <c r="A682" s="7">
        <v>680</v>
      </c>
      <c r="B682" s="7" t="s">
        <v>2033</v>
      </c>
      <c r="C682" s="7" t="s">
        <v>2549</v>
      </c>
      <c r="D682" s="8">
        <v>0.98</v>
      </c>
      <c r="H682" s="10" t="s">
        <v>2546</v>
      </c>
      <c r="I682" s="11" t="s">
        <v>2547</v>
      </c>
      <c r="J682" s="10" t="s">
        <v>1259</v>
      </c>
      <c r="K682" s="11" t="s">
        <v>2550</v>
      </c>
      <c r="L682" s="18">
        <f t="shared" si="20"/>
        <v>0.56999999999999995</v>
      </c>
      <c r="M682" s="15" t="str">
        <f t="shared" si="21"/>
        <v>5</v>
      </c>
    </row>
    <row r="683" spans="1:13" ht="56.25" customHeight="1" x14ac:dyDescent="0.3">
      <c r="A683" s="5">
        <v>681</v>
      </c>
      <c r="B683" s="5" t="s">
        <v>2551</v>
      </c>
      <c r="C683" s="5" t="s">
        <v>2552</v>
      </c>
      <c r="D683" s="6">
        <v>0.98</v>
      </c>
      <c r="H683" s="11" t="s">
        <v>2553</v>
      </c>
      <c r="I683" s="11" t="s">
        <v>2554</v>
      </c>
      <c r="J683" s="11" t="s">
        <v>405</v>
      </c>
      <c r="K683" s="11" t="s">
        <v>2555</v>
      </c>
      <c r="L683" s="18">
        <f t="shared" si="20"/>
        <v>2.5000000000000001E-2</v>
      </c>
      <c r="M683" s="15" t="str">
        <f t="shared" si="21"/>
        <v>5</v>
      </c>
    </row>
    <row r="684" spans="1:13" ht="56.25" customHeight="1" x14ac:dyDescent="0.3">
      <c r="A684" s="7">
        <v>682</v>
      </c>
      <c r="B684" s="7" t="s">
        <v>2556</v>
      </c>
      <c r="C684" s="7" t="s">
        <v>2557</v>
      </c>
      <c r="D684" s="8">
        <v>0.98</v>
      </c>
      <c r="H684" s="10" t="s">
        <v>2553</v>
      </c>
      <c r="I684" s="11" t="s">
        <v>2554</v>
      </c>
      <c r="J684" s="10" t="s">
        <v>1291</v>
      </c>
      <c r="K684" s="11" t="s">
        <v>2558</v>
      </c>
      <c r="L684" s="18">
        <f t="shared" si="20"/>
        <v>0.6</v>
      </c>
      <c r="M684" s="15" t="str">
        <f t="shared" si="21"/>
        <v>5</v>
      </c>
    </row>
    <row r="685" spans="1:13" ht="56.25" customHeight="1" x14ac:dyDescent="0.3">
      <c r="A685" s="5">
        <v>683</v>
      </c>
      <c r="B685" s="5" t="s">
        <v>2059</v>
      </c>
      <c r="C685" s="5" t="s">
        <v>2060</v>
      </c>
      <c r="D685" s="6">
        <v>0.98</v>
      </c>
      <c r="H685" s="11" t="s">
        <v>2559</v>
      </c>
      <c r="I685" s="11" t="s">
        <v>1849</v>
      </c>
      <c r="J685" s="11" t="s">
        <v>2560</v>
      </c>
      <c r="K685" s="11" t="s">
        <v>2561</v>
      </c>
      <c r="L685" s="18" t="str">
        <f t="shared" si="20"/>
        <v/>
      </c>
      <c r="M685" s="15" t="str">
        <f t="shared" si="21"/>
        <v>5</v>
      </c>
    </row>
    <row r="686" spans="1:13" ht="56.25" customHeight="1" x14ac:dyDescent="0.3">
      <c r="A686" s="7">
        <v>684</v>
      </c>
      <c r="B686" s="7" t="s">
        <v>1916</v>
      </c>
      <c r="C686" s="7" t="s">
        <v>2562</v>
      </c>
      <c r="D686" s="8">
        <v>0.98</v>
      </c>
      <c r="H686" s="10" t="s">
        <v>2559</v>
      </c>
      <c r="I686" s="11" t="s">
        <v>1849</v>
      </c>
      <c r="J686" s="10" t="s">
        <v>1891</v>
      </c>
      <c r="K686" s="11" t="s">
        <v>1892</v>
      </c>
      <c r="L686" s="18">
        <f t="shared" si="20"/>
        <v>0.95</v>
      </c>
      <c r="M686" s="15" t="str">
        <f t="shared" si="21"/>
        <v>5</v>
      </c>
    </row>
    <row r="687" spans="1:13" ht="56.25" customHeight="1" x14ac:dyDescent="0.3">
      <c r="A687" s="5">
        <v>685</v>
      </c>
      <c r="B687" s="5" t="s">
        <v>1690</v>
      </c>
      <c r="C687" s="5" t="s">
        <v>2563</v>
      </c>
      <c r="D687" s="6">
        <v>0.98</v>
      </c>
      <c r="H687" s="10" t="s">
        <v>2559</v>
      </c>
      <c r="I687" s="11" t="s">
        <v>1849</v>
      </c>
      <c r="J687" s="10" t="s">
        <v>1848</v>
      </c>
      <c r="K687" s="11" t="s">
        <v>2564</v>
      </c>
      <c r="L687" s="18">
        <f t="shared" si="20"/>
        <v>0.84</v>
      </c>
      <c r="M687" s="15" t="str">
        <f t="shared" si="21"/>
        <v>5</v>
      </c>
    </row>
    <row r="688" spans="1:13" ht="56.25" customHeight="1" x14ac:dyDescent="0.3">
      <c r="A688" s="7">
        <v>686</v>
      </c>
      <c r="B688" s="7" t="s">
        <v>1658</v>
      </c>
      <c r="C688" s="7" t="s">
        <v>2565</v>
      </c>
      <c r="D688" s="8">
        <v>0.98</v>
      </c>
      <c r="H688" s="10" t="s">
        <v>2559</v>
      </c>
      <c r="I688" s="11" t="s">
        <v>1849</v>
      </c>
      <c r="J688" s="10" t="s">
        <v>2566</v>
      </c>
      <c r="K688" s="11" t="s">
        <v>2567</v>
      </c>
      <c r="L688" s="18" t="str">
        <f t="shared" si="20"/>
        <v/>
      </c>
      <c r="M688" s="15" t="str">
        <f t="shared" si="21"/>
        <v>5</v>
      </c>
    </row>
    <row r="689" spans="1:13" ht="56.25" customHeight="1" x14ac:dyDescent="0.3">
      <c r="A689" s="5">
        <v>687</v>
      </c>
      <c r="B689" s="5" t="s">
        <v>2275</v>
      </c>
      <c r="C689" s="5" t="s">
        <v>2568</v>
      </c>
      <c r="D689" s="6">
        <v>0.98</v>
      </c>
      <c r="H689" s="11" t="s">
        <v>2569</v>
      </c>
      <c r="I689" s="11" t="s">
        <v>2570</v>
      </c>
      <c r="J689" s="11" t="s">
        <v>2560</v>
      </c>
      <c r="K689" s="11" t="s">
        <v>2561</v>
      </c>
      <c r="L689" s="18" t="str">
        <f t="shared" si="20"/>
        <v/>
      </c>
      <c r="M689" s="15" t="str">
        <f t="shared" si="21"/>
        <v>5</v>
      </c>
    </row>
    <row r="690" spans="1:13" ht="56.25" customHeight="1" x14ac:dyDescent="0.3">
      <c r="A690" s="7">
        <v>688</v>
      </c>
      <c r="B690" s="7" t="s">
        <v>2174</v>
      </c>
      <c r="C690" s="7" t="s">
        <v>2571</v>
      </c>
      <c r="D690" s="8">
        <v>0.98</v>
      </c>
      <c r="H690" s="10" t="s">
        <v>2569</v>
      </c>
      <c r="I690" s="11" t="s">
        <v>2570</v>
      </c>
      <c r="J690" s="10" t="s">
        <v>652</v>
      </c>
      <c r="K690" s="11" t="s">
        <v>2572</v>
      </c>
      <c r="L690" s="18">
        <f t="shared" si="20"/>
        <v>0.08</v>
      </c>
      <c r="M690" s="15" t="str">
        <f t="shared" si="21"/>
        <v>5</v>
      </c>
    </row>
    <row r="691" spans="1:13" ht="56.25" customHeight="1" x14ac:dyDescent="0.3">
      <c r="A691" s="5">
        <v>689</v>
      </c>
      <c r="B691" s="5" t="s">
        <v>2189</v>
      </c>
      <c r="C691" s="5" t="s">
        <v>2573</v>
      </c>
      <c r="D691" s="6">
        <v>0.98</v>
      </c>
      <c r="H691" s="10" t="s">
        <v>2569</v>
      </c>
      <c r="I691" s="11" t="s">
        <v>2570</v>
      </c>
      <c r="J691" s="10" t="s">
        <v>1862</v>
      </c>
      <c r="K691" s="11" t="s">
        <v>2574</v>
      </c>
      <c r="L691" s="18">
        <f t="shared" si="20"/>
        <v>0.84</v>
      </c>
      <c r="M691" s="15" t="str">
        <f t="shared" si="21"/>
        <v>5</v>
      </c>
    </row>
    <row r="692" spans="1:13" ht="56.25" customHeight="1" x14ac:dyDescent="0.3">
      <c r="A692" s="7">
        <v>690</v>
      </c>
      <c r="B692" s="7" t="s">
        <v>2575</v>
      </c>
      <c r="C692" s="7" t="s">
        <v>2576</v>
      </c>
      <c r="D692" s="8">
        <v>0.98</v>
      </c>
      <c r="H692" s="10" t="s">
        <v>2569</v>
      </c>
      <c r="I692" s="11" t="s">
        <v>2570</v>
      </c>
      <c r="J692" s="10" t="s">
        <v>830</v>
      </c>
      <c r="K692" s="11" t="s">
        <v>2577</v>
      </c>
      <c r="L692" s="18">
        <f t="shared" si="20"/>
        <v>0.21</v>
      </c>
      <c r="M692" s="15" t="str">
        <f t="shared" si="21"/>
        <v>5</v>
      </c>
    </row>
    <row r="693" spans="1:13" ht="56.25" customHeight="1" x14ac:dyDescent="0.3">
      <c r="A693" s="5">
        <v>691</v>
      </c>
      <c r="B693" s="5" t="s">
        <v>2053</v>
      </c>
      <c r="C693" s="5" t="s">
        <v>2578</v>
      </c>
      <c r="D693" s="6">
        <v>0.99</v>
      </c>
      <c r="H693" s="10" t="s">
        <v>2569</v>
      </c>
      <c r="I693" s="11" t="s">
        <v>2570</v>
      </c>
      <c r="J693" s="10" t="s">
        <v>1152</v>
      </c>
      <c r="K693" s="11" t="s">
        <v>2579</v>
      </c>
      <c r="L693" s="18">
        <f t="shared" si="20"/>
        <v>0.49</v>
      </c>
      <c r="M693" s="15" t="str">
        <f t="shared" si="21"/>
        <v>5</v>
      </c>
    </row>
    <row r="694" spans="1:13" ht="56.25" customHeight="1" x14ac:dyDescent="0.3">
      <c r="A694" s="7">
        <v>692</v>
      </c>
      <c r="B694" s="7" t="s">
        <v>1951</v>
      </c>
      <c r="C694" s="7" t="s">
        <v>2580</v>
      </c>
      <c r="D694" s="8">
        <v>0.99</v>
      </c>
      <c r="H694" s="10" t="s">
        <v>2569</v>
      </c>
      <c r="I694" s="11" t="s">
        <v>2570</v>
      </c>
      <c r="J694" s="10" t="s">
        <v>1445</v>
      </c>
      <c r="K694" s="11" t="s">
        <v>2581</v>
      </c>
      <c r="L694" s="18">
        <f t="shared" si="20"/>
        <v>0.67</v>
      </c>
      <c r="M694" s="15" t="str">
        <f t="shared" si="21"/>
        <v>5</v>
      </c>
    </row>
    <row r="695" spans="1:13" ht="56.25" customHeight="1" x14ac:dyDescent="0.3">
      <c r="A695" s="5">
        <v>693</v>
      </c>
      <c r="B695" s="5" t="s">
        <v>2185</v>
      </c>
      <c r="C695" s="5" t="s">
        <v>2582</v>
      </c>
      <c r="D695" s="6">
        <v>0.99</v>
      </c>
      <c r="H695" s="10" t="s">
        <v>2569</v>
      </c>
      <c r="I695" s="11" t="s">
        <v>2570</v>
      </c>
      <c r="J695" s="10" t="s">
        <v>2583</v>
      </c>
      <c r="K695" s="11" t="s">
        <v>2584</v>
      </c>
      <c r="L695" s="18" t="str">
        <f t="shared" si="20"/>
        <v/>
      </c>
      <c r="M695" s="15" t="str">
        <f t="shared" si="21"/>
        <v>5</v>
      </c>
    </row>
    <row r="696" spans="1:13" ht="56.25" customHeight="1" x14ac:dyDescent="0.3">
      <c r="A696" s="7">
        <v>694</v>
      </c>
      <c r="B696" s="7" t="s">
        <v>2585</v>
      </c>
      <c r="C696" s="7" t="s">
        <v>2586</v>
      </c>
      <c r="D696" s="8">
        <v>0.99</v>
      </c>
      <c r="H696" s="10" t="s">
        <v>2569</v>
      </c>
      <c r="I696" s="11" t="s">
        <v>2570</v>
      </c>
      <c r="J696" s="10" t="s">
        <v>1166</v>
      </c>
      <c r="K696" s="11" t="s">
        <v>2587</v>
      </c>
      <c r="L696" s="18">
        <f t="shared" si="20"/>
        <v>0.49</v>
      </c>
      <c r="M696" s="15" t="str">
        <f t="shared" si="21"/>
        <v>5</v>
      </c>
    </row>
    <row r="697" spans="1:13" ht="56.25" customHeight="1" x14ac:dyDescent="0.3">
      <c r="A697" s="5">
        <v>695</v>
      </c>
      <c r="B697" s="5" t="s">
        <v>915</v>
      </c>
      <c r="C697" s="5" t="s">
        <v>2588</v>
      </c>
      <c r="D697" s="6">
        <v>0.99</v>
      </c>
      <c r="H697" s="10" t="s">
        <v>2589</v>
      </c>
      <c r="I697" s="11" t="s">
        <v>2590</v>
      </c>
      <c r="J697" s="10" t="s">
        <v>1240</v>
      </c>
      <c r="K697" s="11" t="s">
        <v>2591</v>
      </c>
      <c r="L697" s="18">
        <f t="shared" si="20"/>
        <v>0.56999999999999995</v>
      </c>
      <c r="M697" s="15" t="str">
        <f t="shared" si="21"/>
        <v>6</v>
      </c>
    </row>
    <row r="698" spans="1:13" ht="56.25" customHeight="1" x14ac:dyDescent="0.3">
      <c r="A698" s="7">
        <v>696</v>
      </c>
      <c r="B698" s="7" t="s">
        <v>1741</v>
      </c>
      <c r="C698" s="7" t="s">
        <v>2592</v>
      </c>
      <c r="D698" s="8">
        <v>0.99</v>
      </c>
      <c r="H698" s="10" t="s">
        <v>2589</v>
      </c>
      <c r="I698" s="11" t="s">
        <v>2590</v>
      </c>
      <c r="J698" s="10" t="s">
        <v>2593</v>
      </c>
      <c r="K698" s="11" t="s">
        <v>2594</v>
      </c>
      <c r="L698" s="18" t="str">
        <f t="shared" si="20"/>
        <v/>
      </c>
      <c r="M698" s="15" t="str">
        <f t="shared" si="21"/>
        <v>6</v>
      </c>
    </row>
    <row r="699" spans="1:13" ht="56.25" customHeight="1" x14ac:dyDescent="0.3">
      <c r="A699" s="5">
        <v>697</v>
      </c>
      <c r="B699" s="5" t="s">
        <v>2595</v>
      </c>
      <c r="C699" s="5" t="s">
        <v>2596</v>
      </c>
      <c r="D699" s="6">
        <v>0.99</v>
      </c>
      <c r="H699" s="10" t="s">
        <v>2597</v>
      </c>
      <c r="I699" s="11" t="s">
        <v>2598</v>
      </c>
      <c r="J699" s="10" t="s">
        <v>1240</v>
      </c>
      <c r="K699" s="11" t="s">
        <v>2591</v>
      </c>
      <c r="L699" s="18">
        <f t="shared" si="20"/>
        <v>0.56999999999999995</v>
      </c>
      <c r="M699" s="15" t="str">
        <f t="shared" si="21"/>
        <v>6</v>
      </c>
    </row>
    <row r="700" spans="1:13" ht="56.25" customHeight="1" x14ac:dyDescent="0.3">
      <c r="A700" s="7">
        <v>698</v>
      </c>
      <c r="B700" s="7" t="s">
        <v>1700</v>
      </c>
      <c r="C700" s="7" t="s">
        <v>2599</v>
      </c>
      <c r="D700" s="8">
        <v>0.99</v>
      </c>
      <c r="H700" s="10" t="s">
        <v>2597</v>
      </c>
      <c r="I700" s="11" t="s">
        <v>2598</v>
      </c>
      <c r="J700" s="10" t="s">
        <v>2593</v>
      </c>
      <c r="K700" s="11" t="s">
        <v>2594</v>
      </c>
      <c r="L700" s="18" t="str">
        <f t="shared" si="20"/>
        <v/>
      </c>
      <c r="M700" s="15" t="str">
        <f t="shared" si="21"/>
        <v>6</v>
      </c>
    </row>
    <row r="701" spans="1:13" ht="56.25" customHeight="1" x14ac:dyDescent="0.3">
      <c r="A701" s="5">
        <v>699</v>
      </c>
      <c r="B701" s="5" t="s">
        <v>1670</v>
      </c>
      <c r="C701" s="5" t="s">
        <v>2600</v>
      </c>
      <c r="D701" s="6">
        <v>0.99</v>
      </c>
      <c r="H701" s="11" t="s">
        <v>2601</v>
      </c>
      <c r="I701" s="11" t="s">
        <v>2602</v>
      </c>
      <c r="J701" s="11" t="s">
        <v>1263</v>
      </c>
      <c r="K701" s="11" t="s">
        <v>2603</v>
      </c>
      <c r="L701" s="18">
        <f t="shared" si="20"/>
        <v>0.56999999999999995</v>
      </c>
      <c r="M701" s="15" t="str">
        <f t="shared" si="21"/>
        <v>6</v>
      </c>
    </row>
    <row r="702" spans="1:13" ht="56.25" customHeight="1" x14ac:dyDescent="0.3">
      <c r="A702" s="7">
        <v>700</v>
      </c>
      <c r="B702" s="7" t="s">
        <v>2604</v>
      </c>
      <c r="C702" s="7" t="s">
        <v>2605</v>
      </c>
      <c r="D702" s="8">
        <v>0.99</v>
      </c>
      <c r="H702" s="10" t="s">
        <v>2601</v>
      </c>
      <c r="I702" s="11" t="s">
        <v>2602</v>
      </c>
      <c r="J702" s="10" t="s">
        <v>1629</v>
      </c>
      <c r="K702" s="11" t="s">
        <v>2606</v>
      </c>
      <c r="L702" s="18">
        <f t="shared" si="20"/>
        <v>0.77</v>
      </c>
      <c r="M702" s="15" t="str">
        <f t="shared" si="21"/>
        <v>6</v>
      </c>
    </row>
    <row r="703" spans="1:13" ht="56.25" customHeight="1" x14ac:dyDescent="0.3">
      <c r="A703" s="5">
        <v>701</v>
      </c>
      <c r="B703" s="5" t="s">
        <v>1881</v>
      </c>
      <c r="C703" s="5" t="s">
        <v>2607</v>
      </c>
      <c r="D703" s="6">
        <v>0.99</v>
      </c>
      <c r="H703" s="10" t="s">
        <v>2601</v>
      </c>
      <c r="I703" s="11" t="s">
        <v>2602</v>
      </c>
      <c r="J703" s="10" t="s">
        <v>2593</v>
      </c>
      <c r="K703" s="11" t="s">
        <v>2594</v>
      </c>
      <c r="L703" s="18" t="str">
        <f t="shared" si="20"/>
        <v/>
      </c>
      <c r="M703" s="15" t="str">
        <f t="shared" si="21"/>
        <v>6</v>
      </c>
    </row>
    <row r="704" spans="1:13" ht="30" customHeight="1" x14ac:dyDescent="0.3">
      <c r="A704" s="7">
        <v>702</v>
      </c>
      <c r="B704" s="7" t="s">
        <v>2473</v>
      </c>
      <c r="C704" s="7" t="s">
        <v>2474</v>
      </c>
      <c r="D704" s="8">
        <v>0.99</v>
      </c>
      <c r="H704" s="10" t="s">
        <v>2608</v>
      </c>
      <c r="I704" s="11" t="s">
        <v>2609</v>
      </c>
      <c r="J704" s="10" t="s">
        <v>1240</v>
      </c>
      <c r="K704" s="11" t="s">
        <v>2591</v>
      </c>
      <c r="L704" s="18">
        <f t="shared" si="20"/>
        <v>0.56999999999999995</v>
      </c>
      <c r="M704" s="15" t="str">
        <f t="shared" si="21"/>
        <v>6</v>
      </c>
    </row>
    <row r="705" spans="8:13" ht="45" customHeight="1" x14ac:dyDescent="0.3">
      <c r="H705" s="10" t="s">
        <v>2608</v>
      </c>
      <c r="I705" s="11" t="s">
        <v>2609</v>
      </c>
      <c r="J705" s="10" t="s">
        <v>2593</v>
      </c>
      <c r="K705" s="11" t="s">
        <v>2594</v>
      </c>
      <c r="L705" s="18" t="str">
        <f t="shared" si="20"/>
        <v/>
      </c>
      <c r="M705" s="15" t="str">
        <f t="shared" si="21"/>
        <v>6</v>
      </c>
    </row>
    <row r="706" spans="8:13" ht="15" customHeight="1" x14ac:dyDescent="0.3">
      <c r="H706" s="10" t="s">
        <v>2610</v>
      </c>
      <c r="I706" s="11" t="s">
        <v>2611</v>
      </c>
      <c r="J706" s="10" t="s">
        <v>1240</v>
      </c>
      <c r="K706" s="11" t="s">
        <v>2591</v>
      </c>
      <c r="L706" s="18">
        <f t="shared" si="20"/>
        <v>0.56999999999999995</v>
      </c>
      <c r="M706" s="15" t="str">
        <f t="shared" si="21"/>
        <v>6</v>
      </c>
    </row>
    <row r="707" spans="8:13" ht="45" customHeight="1" x14ac:dyDescent="0.3">
      <c r="H707" s="10" t="s">
        <v>2610</v>
      </c>
      <c r="I707" s="11" t="s">
        <v>2611</v>
      </c>
      <c r="J707" s="10" t="s">
        <v>2355</v>
      </c>
      <c r="K707" s="11" t="s">
        <v>2612</v>
      </c>
      <c r="L707" s="18">
        <f t="shared" ref="L707:L770" si="22">IFERROR(INDEX($D$3:$D$704,MATCH(TRIM(J707),$B$3:$B$704,0)),"")</f>
        <v>0.95</v>
      </c>
      <c r="M707" s="15" t="str">
        <f t="shared" ref="M707:M770" si="23">LEFT(TEXT(H707,"0000")*0.1)</f>
        <v>6</v>
      </c>
    </row>
    <row r="708" spans="8:13" ht="15" customHeight="1" x14ac:dyDescent="0.3">
      <c r="H708" s="10" t="s">
        <v>2613</v>
      </c>
      <c r="I708" s="11" t="s">
        <v>2614</v>
      </c>
      <c r="J708" s="10" t="s">
        <v>1240</v>
      </c>
      <c r="K708" s="11" t="s">
        <v>2591</v>
      </c>
      <c r="L708" s="18">
        <f t="shared" si="22"/>
        <v>0.56999999999999995</v>
      </c>
      <c r="M708" s="15" t="str">
        <f t="shared" si="23"/>
        <v>6</v>
      </c>
    </row>
    <row r="709" spans="8:13" ht="45" customHeight="1" x14ac:dyDescent="0.3">
      <c r="H709" s="10" t="s">
        <v>2613</v>
      </c>
      <c r="I709" s="11" t="s">
        <v>2614</v>
      </c>
      <c r="J709" s="10" t="s">
        <v>2355</v>
      </c>
      <c r="K709" s="11" t="s">
        <v>2612</v>
      </c>
      <c r="L709" s="18">
        <f t="shared" si="22"/>
        <v>0.95</v>
      </c>
      <c r="M709" s="15" t="str">
        <f t="shared" si="23"/>
        <v>6</v>
      </c>
    </row>
    <row r="710" spans="8:13" ht="15" customHeight="1" x14ac:dyDescent="0.3">
      <c r="H710" s="10" t="s">
        <v>2615</v>
      </c>
      <c r="I710" s="11" t="s">
        <v>2616</v>
      </c>
      <c r="J710" s="10" t="s">
        <v>1240</v>
      </c>
      <c r="K710" s="11" t="s">
        <v>2591</v>
      </c>
      <c r="L710" s="18">
        <f t="shared" si="22"/>
        <v>0.56999999999999995</v>
      </c>
      <c r="M710" s="15" t="str">
        <f t="shared" si="23"/>
        <v>6</v>
      </c>
    </row>
    <row r="711" spans="8:13" ht="45" customHeight="1" x14ac:dyDescent="0.3">
      <c r="H711" s="10" t="s">
        <v>2615</v>
      </c>
      <c r="I711" s="11" t="s">
        <v>2616</v>
      </c>
      <c r="J711" s="10" t="s">
        <v>2355</v>
      </c>
      <c r="K711" s="11" t="s">
        <v>2612</v>
      </c>
      <c r="L711" s="18">
        <f t="shared" si="22"/>
        <v>0.95</v>
      </c>
      <c r="M711" s="15" t="str">
        <f t="shared" si="23"/>
        <v>6</v>
      </c>
    </row>
    <row r="712" spans="8:13" ht="30" customHeight="1" x14ac:dyDescent="0.3">
      <c r="H712" s="10" t="s">
        <v>2617</v>
      </c>
      <c r="I712" s="11" t="s">
        <v>2618</v>
      </c>
      <c r="J712" s="10" t="s">
        <v>1240</v>
      </c>
      <c r="K712" s="11" t="s">
        <v>2591</v>
      </c>
      <c r="L712" s="18">
        <f t="shared" si="22"/>
        <v>0.56999999999999995</v>
      </c>
      <c r="M712" s="15" t="str">
        <f t="shared" si="23"/>
        <v>6</v>
      </c>
    </row>
    <row r="713" spans="8:13" ht="45" customHeight="1" x14ac:dyDescent="0.3">
      <c r="H713" s="10" t="s">
        <v>2617</v>
      </c>
      <c r="I713" s="11" t="s">
        <v>2618</v>
      </c>
      <c r="J713" s="10" t="s">
        <v>2355</v>
      </c>
      <c r="K713" s="11" t="s">
        <v>2612</v>
      </c>
      <c r="L713" s="18">
        <f t="shared" si="22"/>
        <v>0.95</v>
      </c>
      <c r="M713" s="15" t="str">
        <f t="shared" si="23"/>
        <v>6</v>
      </c>
    </row>
    <row r="714" spans="8:13" ht="30" customHeight="1" x14ac:dyDescent="0.3">
      <c r="H714" s="10" t="s">
        <v>2619</v>
      </c>
      <c r="I714" s="11" t="s">
        <v>2620</v>
      </c>
      <c r="J714" s="10" t="s">
        <v>1240</v>
      </c>
      <c r="K714" s="11" t="s">
        <v>2591</v>
      </c>
      <c r="L714" s="18">
        <f t="shared" si="22"/>
        <v>0.56999999999999995</v>
      </c>
      <c r="M714" s="15" t="str">
        <f t="shared" si="23"/>
        <v>6</v>
      </c>
    </row>
    <row r="715" spans="8:13" ht="30" customHeight="1" x14ac:dyDescent="0.3">
      <c r="H715" s="10" t="s">
        <v>2619</v>
      </c>
      <c r="I715" s="11" t="s">
        <v>2620</v>
      </c>
      <c r="J715" s="10" t="s">
        <v>2355</v>
      </c>
      <c r="K715" s="11" t="s">
        <v>2612</v>
      </c>
      <c r="L715" s="18">
        <f t="shared" si="22"/>
        <v>0.95</v>
      </c>
      <c r="M715" s="15" t="str">
        <f t="shared" si="23"/>
        <v>6</v>
      </c>
    </row>
    <row r="716" spans="8:13" ht="45" customHeight="1" x14ac:dyDescent="0.3">
      <c r="H716" s="10" t="s">
        <v>2619</v>
      </c>
      <c r="I716" s="11" t="s">
        <v>2620</v>
      </c>
      <c r="J716" s="10" t="s">
        <v>2593</v>
      </c>
      <c r="K716" s="11" t="s">
        <v>2594</v>
      </c>
      <c r="L716" s="18" t="str">
        <f t="shared" si="22"/>
        <v/>
      </c>
      <c r="M716" s="15" t="str">
        <f t="shared" si="23"/>
        <v>6</v>
      </c>
    </row>
    <row r="717" spans="8:13" ht="30" customHeight="1" x14ac:dyDescent="0.3">
      <c r="H717" s="10" t="s">
        <v>2621</v>
      </c>
      <c r="I717" s="11" t="s">
        <v>2622</v>
      </c>
      <c r="J717" s="10" t="s">
        <v>1240</v>
      </c>
      <c r="K717" s="11" t="s">
        <v>2591</v>
      </c>
      <c r="L717" s="18">
        <f t="shared" si="22"/>
        <v>0.56999999999999995</v>
      </c>
      <c r="M717" s="15" t="str">
        <f t="shared" si="23"/>
        <v>6</v>
      </c>
    </row>
    <row r="718" spans="8:13" ht="15" customHeight="1" x14ac:dyDescent="0.3">
      <c r="H718" s="10" t="s">
        <v>2621</v>
      </c>
      <c r="I718" s="11" t="s">
        <v>2622</v>
      </c>
      <c r="J718" s="10" t="s">
        <v>1931</v>
      </c>
      <c r="K718" s="11" t="s">
        <v>2623</v>
      </c>
      <c r="L718" s="18">
        <f t="shared" si="22"/>
        <v>0.87</v>
      </c>
      <c r="M718" s="15" t="str">
        <f t="shared" si="23"/>
        <v>6</v>
      </c>
    </row>
    <row r="719" spans="8:13" ht="30" customHeight="1" x14ac:dyDescent="0.3">
      <c r="H719" s="10" t="s">
        <v>2621</v>
      </c>
      <c r="I719" s="11" t="s">
        <v>2622</v>
      </c>
      <c r="J719" s="10" t="s">
        <v>1621</v>
      </c>
      <c r="K719" s="11" t="s">
        <v>1622</v>
      </c>
      <c r="L719" s="18">
        <f t="shared" si="22"/>
        <v>0.76</v>
      </c>
      <c r="M719" s="15" t="str">
        <f t="shared" si="23"/>
        <v>6</v>
      </c>
    </row>
    <row r="720" spans="8:13" ht="15" customHeight="1" x14ac:dyDescent="0.3">
      <c r="H720" s="10" t="s">
        <v>2621</v>
      </c>
      <c r="I720" s="11" t="s">
        <v>2622</v>
      </c>
      <c r="J720" s="10" t="s">
        <v>1692</v>
      </c>
      <c r="K720" s="11" t="s">
        <v>2624</v>
      </c>
      <c r="L720" s="18">
        <f t="shared" si="22"/>
        <v>0.79</v>
      </c>
      <c r="M720" s="15" t="str">
        <f t="shared" si="23"/>
        <v>6</v>
      </c>
    </row>
    <row r="721" spans="8:13" ht="30" customHeight="1" x14ac:dyDescent="0.3">
      <c r="H721" s="10" t="s">
        <v>2621</v>
      </c>
      <c r="I721" s="11" t="s">
        <v>2622</v>
      </c>
      <c r="J721" s="10" t="s">
        <v>2482</v>
      </c>
      <c r="K721" s="11" t="s">
        <v>2625</v>
      </c>
      <c r="L721" s="18">
        <f t="shared" si="22"/>
        <v>0.97</v>
      </c>
      <c r="M721" s="15" t="str">
        <f t="shared" si="23"/>
        <v>6</v>
      </c>
    </row>
    <row r="722" spans="8:13" ht="45" customHeight="1" x14ac:dyDescent="0.3">
      <c r="H722" s="10" t="s">
        <v>2621</v>
      </c>
      <c r="I722" s="11" t="s">
        <v>2622</v>
      </c>
      <c r="J722" s="10" t="s">
        <v>2626</v>
      </c>
      <c r="K722" s="13" t="s">
        <v>2627</v>
      </c>
      <c r="L722" s="18" t="str">
        <f t="shared" si="22"/>
        <v/>
      </c>
      <c r="M722" s="15" t="str">
        <f t="shared" si="23"/>
        <v>6</v>
      </c>
    </row>
    <row r="723" spans="8:13" ht="15" customHeight="1" x14ac:dyDescent="0.3">
      <c r="H723" s="10" t="s">
        <v>2628</v>
      </c>
      <c r="I723" s="11" t="s">
        <v>2629</v>
      </c>
      <c r="J723" s="10" t="s">
        <v>1240</v>
      </c>
      <c r="K723" s="11" t="s">
        <v>2591</v>
      </c>
      <c r="L723" s="18">
        <f t="shared" si="22"/>
        <v>0.56999999999999995</v>
      </c>
      <c r="M723" s="15" t="str">
        <f t="shared" si="23"/>
        <v>6</v>
      </c>
    </row>
    <row r="724" spans="8:13" ht="45" customHeight="1" x14ac:dyDescent="0.3">
      <c r="H724" s="10" t="s">
        <v>2628</v>
      </c>
      <c r="I724" s="11" t="s">
        <v>2629</v>
      </c>
      <c r="J724" s="10" t="s">
        <v>2355</v>
      </c>
      <c r="K724" s="11" t="s">
        <v>2612</v>
      </c>
      <c r="L724" s="18">
        <f t="shared" si="22"/>
        <v>0.95</v>
      </c>
      <c r="M724" s="15" t="str">
        <f t="shared" si="23"/>
        <v>6</v>
      </c>
    </row>
    <row r="725" spans="8:13" ht="30" customHeight="1" x14ac:dyDescent="0.3">
      <c r="H725" s="10" t="s">
        <v>2630</v>
      </c>
      <c r="I725" s="11" t="s">
        <v>2631</v>
      </c>
      <c r="J725" s="10" t="s">
        <v>1240</v>
      </c>
      <c r="K725" s="11" t="s">
        <v>2591</v>
      </c>
      <c r="L725" s="18">
        <f t="shared" si="22"/>
        <v>0.56999999999999995</v>
      </c>
      <c r="M725" s="15" t="str">
        <f t="shared" si="23"/>
        <v>6</v>
      </c>
    </row>
    <row r="726" spans="8:13" ht="45" customHeight="1" x14ac:dyDescent="0.3">
      <c r="H726" s="10" t="s">
        <v>2630</v>
      </c>
      <c r="I726" s="11" t="s">
        <v>2631</v>
      </c>
      <c r="J726" s="10" t="s">
        <v>1764</v>
      </c>
      <c r="K726" s="11" t="s">
        <v>2632</v>
      </c>
      <c r="L726" s="18">
        <f t="shared" si="22"/>
        <v>0.83</v>
      </c>
      <c r="M726" s="15" t="str">
        <f t="shared" si="23"/>
        <v>6</v>
      </c>
    </row>
    <row r="727" spans="8:13" ht="30" customHeight="1" x14ac:dyDescent="0.3">
      <c r="H727" s="10" t="s">
        <v>2633</v>
      </c>
      <c r="I727" s="11" t="s">
        <v>2634</v>
      </c>
      <c r="J727" s="10" t="s">
        <v>1240</v>
      </c>
      <c r="K727" s="11" t="s">
        <v>2591</v>
      </c>
      <c r="L727" s="18">
        <f t="shared" si="22"/>
        <v>0.56999999999999995</v>
      </c>
      <c r="M727" s="15" t="str">
        <f t="shared" si="23"/>
        <v>6</v>
      </c>
    </row>
    <row r="728" spans="8:13" ht="45" customHeight="1" x14ac:dyDescent="0.3">
      <c r="H728" s="10" t="s">
        <v>2633</v>
      </c>
      <c r="I728" s="11" t="s">
        <v>2634</v>
      </c>
      <c r="J728" s="10" t="s">
        <v>1764</v>
      </c>
      <c r="K728" s="11" t="s">
        <v>2632</v>
      </c>
      <c r="L728" s="18">
        <f t="shared" si="22"/>
        <v>0.83</v>
      </c>
      <c r="M728" s="15" t="str">
        <f t="shared" si="23"/>
        <v>6</v>
      </c>
    </row>
    <row r="729" spans="8:13" ht="15" customHeight="1" x14ac:dyDescent="0.3">
      <c r="H729" s="10" t="s">
        <v>2635</v>
      </c>
      <c r="I729" s="11" t="s">
        <v>1642</v>
      </c>
      <c r="J729" s="10" t="s">
        <v>1240</v>
      </c>
      <c r="K729" s="11" t="s">
        <v>2591</v>
      </c>
      <c r="L729" s="18">
        <f t="shared" si="22"/>
        <v>0.56999999999999995</v>
      </c>
      <c r="M729" s="15" t="str">
        <f t="shared" si="23"/>
        <v>6</v>
      </c>
    </row>
    <row r="730" spans="8:13" ht="45" customHeight="1" x14ac:dyDescent="0.3">
      <c r="H730" s="10" t="s">
        <v>2635</v>
      </c>
      <c r="I730" s="11" t="s">
        <v>1642</v>
      </c>
      <c r="J730" s="10" t="s">
        <v>1641</v>
      </c>
      <c r="K730" s="11" t="s">
        <v>2636</v>
      </c>
      <c r="L730" s="18">
        <f t="shared" si="22"/>
        <v>0.77</v>
      </c>
      <c r="M730" s="15" t="str">
        <f t="shared" si="23"/>
        <v>6</v>
      </c>
    </row>
    <row r="731" spans="8:13" ht="45" customHeight="1" x14ac:dyDescent="0.3">
      <c r="H731" s="10" t="s">
        <v>2637</v>
      </c>
      <c r="I731" s="11" t="s">
        <v>2638</v>
      </c>
      <c r="J731" s="10" t="s">
        <v>2639</v>
      </c>
      <c r="K731" s="11" t="s">
        <v>2640</v>
      </c>
      <c r="L731" s="18" t="str">
        <f t="shared" si="22"/>
        <v/>
      </c>
      <c r="M731" s="15" t="str">
        <f t="shared" si="23"/>
        <v>6</v>
      </c>
    </row>
    <row r="732" spans="8:13" ht="45" customHeight="1" x14ac:dyDescent="0.3">
      <c r="H732" s="10" t="s">
        <v>2641</v>
      </c>
      <c r="I732" s="11" t="s">
        <v>2642</v>
      </c>
      <c r="J732" s="10" t="s">
        <v>2643</v>
      </c>
      <c r="K732" s="11" t="s">
        <v>2644</v>
      </c>
      <c r="L732" s="18" t="str">
        <f t="shared" si="22"/>
        <v/>
      </c>
      <c r="M732" s="15" t="str">
        <f t="shared" si="23"/>
        <v>6</v>
      </c>
    </row>
    <row r="733" spans="8:13" ht="45" customHeight="1" x14ac:dyDescent="0.3">
      <c r="H733" s="10" t="s">
        <v>2645</v>
      </c>
      <c r="I733" s="11" t="s">
        <v>2646</v>
      </c>
      <c r="J733" s="10" t="s">
        <v>2639</v>
      </c>
      <c r="K733" s="11" t="s">
        <v>2640</v>
      </c>
      <c r="L733" s="18" t="str">
        <f t="shared" si="22"/>
        <v/>
      </c>
      <c r="M733" s="15" t="str">
        <f t="shared" si="23"/>
        <v>6</v>
      </c>
    </row>
    <row r="734" spans="8:13" ht="30" customHeight="1" x14ac:dyDescent="0.3">
      <c r="H734" s="10" t="s">
        <v>2645</v>
      </c>
      <c r="I734" s="11" t="s">
        <v>2646</v>
      </c>
      <c r="J734" s="10" t="s">
        <v>2643</v>
      </c>
      <c r="K734" s="11" t="s">
        <v>2644</v>
      </c>
      <c r="L734" s="18" t="str">
        <f t="shared" si="22"/>
        <v/>
      </c>
      <c r="M734" s="15" t="str">
        <f t="shared" si="23"/>
        <v>6</v>
      </c>
    </row>
    <row r="735" spans="8:13" ht="30" customHeight="1" x14ac:dyDescent="0.3">
      <c r="H735" s="10" t="s">
        <v>2647</v>
      </c>
      <c r="I735" s="11" t="s">
        <v>2648</v>
      </c>
      <c r="J735" s="10" t="s">
        <v>1764</v>
      </c>
      <c r="K735" s="11" t="s">
        <v>2632</v>
      </c>
      <c r="L735" s="18">
        <f t="shared" si="22"/>
        <v>0.83</v>
      </c>
      <c r="M735" s="15" t="str">
        <f t="shared" si="23"/>
        <v>6</v>
      </c>
    </row>
    <row r="736" spans="8:13" ht="15" customHeight="1" x14ac:dyDescent="0.3">
      <c r="H736" s="10" t="s">
        <v>2647</v>
      </c>
      <c r="I736" s="11" t="s">
        <v>2648</v>
      </c>
      <c r="J736" s="10" t="s">
        <v>1641</v>
      </c>
      <c r="K736" s="11" t="s">
        <v>2636</v>
      </c>
      <c r="L736" s="18">
        <f t="shared" si="22"/>
        <v>0.77</v>
      </c>
      <c r="M736" s="15" t="str">
        <f t="shared" si="23"/>
        <v>6</v>
      </c>
    </row>
    <row r="737" spans="8:13" ht="30" customHeight="1" x14ac:dyDescent="0.3">
      <c r="H737" s="10" t="s">
        <v>2649</v>
      </c>
      <c r="I737" s="11" t="s">
        <v>2650</v>
      </c>
      <c r="J737" s="10" t="s">
        <v>229</v>
      </c>
      <c r="K737" s="11" t="s">
        <v>230</v>
      </c>
      <c r="L737" s="18">
        <f t="shared" si="22"/>
        <v>7.0999999999999994E-2</v>
      </c>
      <c r="M737" s="15" t="str">
        <f t="shared" si="23"/>
        <v>7</v>
      </c>
    </row>
    <row r="738" spans="8:13" ht="45" customHeight="1" x14ac:dyDescent="0.3">
      <c r="H738" s="10" t="s">
        <v>2651</v>
      </c>
      <c r="I738" s="11" t="s">
        <v>2652</v>
      </c>
      <c r="J738" s="10" t="s">
        <v>1760</v>
      </c>
      <c r="K738" s="11" t="s">
        <v>2653</v>
      </c>
      <c r="L738" s="18">
        <f t="shared" si="22"/>
        <v>0.82</v>
      </c>
      <c r="M738" s="15" t="str">
        <f t="shared" si="23"/>
        <v>7</v>
      </c>
    </row>
    <row r="739" spans="8:13" ht="30" customHeight="1" x14ac:dyDescent="0.3">
      <c r="H739" s="10" t="s">
        <v>2651</v>
      </c>
      <c r="I739" s="11" t="s">
        <v>2652</v>
      </c>
      <c r="J739" s="10" t="s">
        <v>1743</v>
      </c>
      <c r="K739" s="11" t="s">
        <v>2654</v>
      </c>
      <c r="L739" s="18">
        <f t="shared" si="22"/>
        <v>0.82</v>
      </c>
      <c r="M739" s="15" t="str">
        <f t="shared" si="23"/>
        <v>7</v>
      </c>
    </row>
    <row r="740" spans="8:13" ht="30" customHeight="1" x14ac:dyDescent="0.3">
      <c r="H740" s="10" t="s">
        <v>2655</v>
      </c>
      <c r="I740" s="11" t="s">
        <v>2656</v>
      </c>
      <c r="J740" s="10" t="s">
        <v>2014</v>
      </c>
      <c r="K740" s="11" t="s">
        <v>2015</v>
      </c>
      <c r="L740" s="18">
        <f t="shared" si="22"/>
        <v>0.89</v>
      </c>
      <c r="M740" s="15" t="str">
        <f t="shared" si="23"/>
        <v>7</v>
      </c>
    </row>
    <row r="741" spans="8:13" ht="30" customHeight="1" x14ac:dyDescent="0.3">
      <c r="H741" s="10" t="s">
        <v>2655</v>
      </c>
      <c r="I741" s="11" t="s">
        <v>2656</v>
      </c>
      <c r="J741" s="10" t="s">
        <v>1792</v>
      </c>
      <c r="K741" s="11" t="s">
        <v>2657</v>
      </c>
      <c r="L741" s="18">
        <f t="shared" si="22"/>
        <v>0.83</v>
      </c>
      <c r="M741" s="15" t="str">
        <f t="shared" si="23"/>
        <v>7</v>
      </c>
    </row>
    <row r="742" spans="8:13" ht="30" customHeight="1" x14ac:dyDescent="0.3">
      <c r="H742" s="10" t="s">
        <v>2658</v>
      </c>
      <c r="I742" s="11" t="s">
        <v>2659</v>
      </c>
      <c r="J742" s="10" t="s">
        <v>2288</v>
      </c>
      <c r="K742" s="11" t="s">
        <v>2660</v>
      </c>
      <c r="L742" s="18">
        <f t="shared" si="22"/>
        <v>0.94</v>
      </c>
      <c r="M742" s="15" t="str">
        <f t="shared" si="23"/>
        <v>7</v>
      </c>
    </row>
    <row r="743" spans="8:13" ht="30" customHeight="1" x14ac:dyDescent="0.3">
      <c r="H743" s="10" t="s">
        <v>2658</v>
      </c>
      <c r="I743" s="11" t="s">
        <v>2659</v>
      </c>
      <c r="J743" s="10" t="s">
        <v>1995</v>
      </c>
      <c r="K743" s="11" t="s">
        <v>2661</v>
      </c>
      <c r="L743" s="18">
        <f t="shared" si="22"/>
        <v>0.88</v>
      </c>
      <c r="M743" s="15" t="str">
        <f t="shared" si="23"/>
        <v>7</v>
      </c>
    </row>
    <row r="744" spans="8:13" ht="15" customHeight="1" x14ac:dyDescent="0.3">
      <c r="H744" s="10" t="s">
        <v>2658</v>
      </c>
      <c r="I744" s="11" t="s">
        <v>2659</v>
      </c>
      <c r="J744" s="10" t="s">
        <v>1792</v>
      </c>
      <c r="K744" s="11" t="s">
        <v>2657</v>
      </c>
      <c r="L744" s="18">
        <f t="shared" si="22"/>
        <v>0.83</v>
      </c>
      <c r="M744" s="15" t="str">
        <f t="shared" si="23"/>
        <v>7</v>
      </c>
    </row>
    <row r="745" spans="8:13" ht="45" customHeight="1" x14ac:dyDescent="0.3">
      <c r="H745" s="10" t="s">
        <v>2662</v>
      </c>
      <c r="I745" s="11" t="s">
        <v>2663</v>
      </c>
      <c r="J745" s="10" t="s">
        <v>1544</v>
      </c>
      <c r="K745" s="11" t="s">
        <v>1545</v>
      </c>
      <c r="L745" s="18">
        <f t="shared" si="22"/>
        <v>0.72</v>
      </c>
      <c r="M745" s="15" t="str">
        <f t="shared" si="23"/>
        <v>7</v>
      </c>
    </row>
    <row r="746" spans="8:13" ht="45" customHeight="1" x14ac:dyDescent="0.3">
      <c r="H746" s="10" t="s">
        <v>2664</v>
      </c>
      <c r="I746" s="11" t="s">
        <v>2665</v>
      </c>
      <c r="J746" s="10" t="s">
        <v>2666</v>
      </c>
      <c r="K746" s="11" t="s">
        <v>2667</v>
      </c>
      <c r="L746" s="18" t="str">
        <f t="shared" si="22"/>
        <v/>
      </c>
      <c r="M746" s="15" t="str">
        <f t="shared" si="23"/>
        <v>7</v>
      </c>
    </row>
    <row r="747" spans="8:13" ht="45" customHeight="1" x14ac:dyDescent="0.3">
      <c r="H747" s="10" t="s">
        <v>2664</v>
      </c>
      <c r="I747" s="11" t="s">
        <v>2665</v>
      </c>
      <c r="J747" s="10" t="s">
        <v>2183</v>
      </c>
      <c r="K747" s="11" t="s">
        <v>2668</v>
      </c>
      <c r="L747" s="18">
        <f t="shared" si="22"/>
        <v>0.92</v>
      </c>
      <c r="M747" s="15" t="str">
        <f t="shared" si="23"/>
        <v>7</v>
      </c>
    </row>
    <row r="748" spans="8:13" ht="45" customHeight="1" x14ac:dyDescent="0.3">
      <c r="H748" s="10" t="s">
        <v>2664</v>
      </c>
      <c r="I748" s="11" t="s">
        <v>2665</v>
      </c>
      <c r="J748" s="10" t="s">
        <v>1199</v>
      </c>
      <c r="K748" s="11" t="s">
        <v>2669</v>
      </c>
      <c r="L748" s="18">
        <f t="shared" si="22"/>
        <v>0.53</v>
      </c>
      <c r="M748" s="15" t="str">
        <f t="shared" si="23"/>
        <v>7</v>
      </c>
    </row>
    <row r="749" spans="8:13" ht="45" customHeight="1" x14ac:dyDescent="0.3">
      <c r="H749" s="10" t="s">
        <v>2664</v>
      </c>
      <c r="I749" s="11" t="s">
        <v>2665</v>
      </c>
      <c r="J749" s="10" t="s">
        <v>2670</v>
      </c>
      <c r="K749" s="11" t="s">
        <v>2671</v>
      </c>
      <c r="L749" s="18" t="str">
        <f t="shared" si="22"/>
        <v/>
      </c>
      <c r="M749" s="15" t="str">
        <f t="shared" si="23"/>
        <v>7</v>
      </c>
    </row>
    <row r="750" spans="8:13" ht="15" customHeight="1" x14ac:dyDescent="0.3">
      <c r="H750" s="10" t="s">
        <v>2664</v>
      </c>
      <c r="I750" s="11" t="s">
        <v>2665</v>
      </c>
      <c r="J750" s="10" t="s">
        <v>803</v>
      </c>
      <c r="K750" s="11" t="s">
        <v>2672</v>
      </c>
      <c r="L750" s="18">
        <f t="shared" si="22"/>
        <v>0.18</v>
      </c>
      <c r="M750" s="15" t="str">
        <f t="shared" si="23"/>
        <v>7</v>
      </c>
    </row>
    <row r="751" spans="8:13" ht="15" customHeight="1" x14ac:dyDescent="0.3">
      <c r="H751" s="10" t="s">
        <v>2673</v>
      </c>
      <c r="I751" s="11" t="s">
        <v>2062</v>
      </c>
      <c r="J751" s="10" t="s">
        <v>2061</v>
      </c>
      <c r="K751" s="11" t="s">
        <v>2062</v>
      </c>
      <c r="L751" s="18">
        <f t="shared" si="22"/>
        <v>0.9</v>
      </c>
      <c r="M751" s="15" t="str">
        <f t="shared" si="23"/>
        <v>7</v>
      </c>
    </row>
    <row r="752" spans="8:13" ht="45" customHeight="1" x14ac:dyDescent="0.3">
      <c r="H752" s="10" t="s">
        <v>2674</v>
      </c>
      <c r="I752" s="11" t="s">
        <v>2675</v>
      </c>
      <c r="J752" s="10" t="s">
        <v>1939</v>
      </c>
      <c r="K752" s="11" t="s">
        <v>1940</v>
      </c>
      <c r="L752" s="18">
        <f t="shared" si="22"/>
        <v>0.87</v>
      </c>
      <c r="M752" s="15" t="str">
        <f t="shared" si="23"/>
        <v>7</v>
      </c>
    </row>
    <row r="753" spans="8:13" ht="30" customHeight="1" x14ac:dyDescent="0.3">
      <c r="H753" s="10" t="s">
        <v>2674</v>
      </c>
      <c r="I753" s="11" t="s">
        <v>2675</v>
      </c>
      <c r="J753" s="10" t="s">
        <v>1696</v>
      </c>
      <c r="K753" s="11" t="s">
        <v>2676</v>
      </c>
      <c r="L753" s="18">
        <f t="shared" si="22"/>
        <v>0.79</v>
      </c>
      <c r="M753" s="15" t="str">
        <f t="shared" si="23"/>
        <v>7</v>
      </c>
    </row>
    <row r="754" spans="8:13" ht="15" customHeight="1" x14ac:dyDescent="0.3">
      <c r="H754" s="10" t="s">
        <v>2674</v>
      </c>
      <c r="I754" s="11" t="s">
        <v>2675</v>
      </c>
      <c r="J754" s="10" t="s">
        <v>1955</v>
      </c>
      <c r="K754" s="11" t="s">
        <v>2677</v>
      </c>
      <c r="L754" s="18">
        <f t="shared" si="22"/>
        <v>0.87</v>
      </c>
      <c r="M754" s="15" t="str">
        <f t="shared" si="23"/>
        <v>7</v>
      </c>
    </row>
    <row r="755" spans="8:13" ht="30" customHeight="1" x14ac:dyDescent="0.3">
      <c r="H755" s="10" t="s">
        <v>2674</v>
      </c>
      <c r="I755" s="11" t="s">
        <v>2675</v>
      </c>
      <c r="J755" s="10" t="s">
        <v>1594</v>
      </c>
      <c r="K755" s="11" t="s">
        <v>2678</v>
      </c>
      <c r="L755" s="18">
        <f t="shared" si="22"/>
        <v>0.75</v>
      </c>
      <c r="M755" s="15" t="str">
        <f t="shared" si="23"/>
        <v>7</v>
      </c>
    </row>
    <row r="756" spans="8:13" ht="15" customHeight="1" x14ac:dyDescent="0.3">
      <c r="H756" s="10" t="s">
        <v>2679</v>
      </c>
      <c r="I756" s="11" t="s">
        <v>2680</v>
      </c>
      <c r="J756" s="10" t="s">
        <v>1676</v>
      </c>
      <c r="K756" s="11" t="s">
        <v>2681</v>
      </c>
      <c r="L756" s="18">
        <f t="shared" si="22"/>
        <v>0.79</v>
      </c>
      <c r="M756" s="15" t="str">
        <f t="shared" si="23"/>
        <v>7</v>
      </c>
    </row>
    <row r="757" spans="8:13" ht="30" customHeight="1" x14ac:dyDescent="0.3">
      <c r="H757" s="10" t="s">
        <v>2679</v>
      </c>
      <c r="I757" s="11" t="s">
        <v>2680</v>
      </c>
      <c r="J757" s="10" t="s">
        <v>1334</v>
      </c>
      <c r="K757" s="11" t="s">
        <v>1335</v>
      </c>
      <c r="L757" s="18">
        <f t="shared" si="22"/>
        <v>0.62</v>
      </c>
      <c r="M757" s="15" t="str">
        <f t="shared" si="23"/>
        <v>7</v>
      </c>
    </row>
    <row r="758" spans="8:13" ht="30" customHeight="1" x14ac:dyDescent="0.3">
      <c r="H758" s="10" t="s">
        <v>2679</v>
      </c>
      <c r="I758" s="11" t="s">
        <v>2680</v>
      </c>
      <c r="J758" s="10" t="s">
        <v>1836</v>
      </c>
      <c r="K758" s="11" t="s">
        <v>2682</v>
      </c>
      <c r="L758" s="18">
        <f t="shared" si="22"/>
        <v>0.84</v>
      </c>
      <c r="M758" s="15" t="str">
        <f t="shared" si="23"/>
        <v>7</v>
      </c>
    </row>
    <row r="759" spans="8:13" ht="30" customHeight="1" x14ac:dyDescent="0.3">
      <c r="H759" s="10" t="s">
        <v>2683</v>
      </c>
      <c r="I759" s="11" t="s">
        <v>2684</v>
      </c>
      <c r="J759" s="10" t="s">
        <v>1794</v>
      </c>
      <c r="K759" s="11" t="s">
        <v>2685</v>
      </c>
      <c r="L759" s="18">
        <f t="shared" si="22"/>
        <v>0.83</v>
      </c>
      <c r="M759" s="15" t="str">
        <f t="shared" si="23"/>
        <v>7</v>
      </c>
    </row>
    <row r="760" spans="8:13" ht="15" customHeight="1" x14ac:dyDescent="0.3">
      <c r="H760" s="10" t="s">
        <v>2683</v>
      </c>
      <c r="I760" s="11" t="s">
        <v>2684</v>
      </c>
      <c r="J760" s="10" t="s">
        <v>1373</v>
      </c>
      <c r="K760" s="11" t="s">
        <v>2686</v>
      </c>
      <c r="L760" s="18">
        <f t="shared" si="22"/>
        <v>0.64</v>
      </c>
      <c r="M760" s="15" t="str">
        <f t="shared" si="23"/>
        <v>7</v>
      </c>
    </row>
    <row r="761" spans="8:13" ht="15" customHeight="1" x14ac:dyDescent="0.3">
      <c r="H761" s="10" t="s">
        <v>2687</v>
      </c>
      <c r="I761" s="11" t="s">
        <v>1561</v>
      </c>
      <c r="J761" s="10" t="s">
        <v>1560</v>
      </c>
      <c r="K761" s="11" t="s">
        <v>1561</v>
      </c>
      <c r="L761" s="18">
        <f t="shared" si="22"/>
        <v>0.73</v>
      </c>
      <c r="M761" s="15" t="str">
        <f t="shared" si="23"/>
        <v>7</v>
      </c>
    </row>
    <row r="762" spans="8:13" ht="30" customHeight="1" x14ac:dyDescent="0.3">
      <c r="H762" s="10" t="s">
        <v>2688</v>
      </c>
      <c r="I762" s="11" t="s">
        <v>2689</v>
      </c>
      <c r="J762" s="10" t="s">
        <v>1338</v>
      </c>
      <c r="K762" s="11" t="s">
        <v>1339</v>
      </c>
      <c r="L762" s="18">
        <f t="shared" si="22"/>
        <v>0.62</v>
      </c>
      <c r="M762" s="15" t="str">
        <f t="shared" si="23"/>
        <v>7</v>
      </c>
    </row>
    <row r="763" spans="8:13" ht="45" customHeight="1" x14ac:dyDescent="0.3">
      <c r="H763" s="10" t="s">
        <v>2688</v>
      </c>
      <c r="I763" s="11" t="s">
        <v>2689</v>
      </c>
      <c r="J763" s="10" t="s">
        <v>981</v>
      </c>
      <c r="K763" s="11" t="s">
        <v>2690</v>
      </c>
      <c r="L763" s="18">
        <f t="shared" si="22"/>
        <v>0.35</v>
      </c>
      <c r="M763" s="15" t="str">
        <f t="shared" si="23"/>
        <v>7</v>
      </c>
    </row>
    <row r="764" spans="8:13" ht="45" customHeight="1" x14ac:dyDescent="0.3">
      <c r="H764" s="10" t="s">
        <v>2691</v>
      </c>
      <c r="I764" s="11" t="s">
        <v>2692</v>
      </c>
      <c r="J764" s="10" t="s">
        <v>11</v>
      </c>
      <c r="K764" s="11" t="s">
        <v>2693</v>
      </c>
      <c r="L764" s="18">
        <f t="shared" si="22"/>
        <v>3.0000000000000001E-3</v>
      </c>
      <c r="M764" s="15" t="str">
        <f t="shared" si="23"/>
        <v>7</v>
      </c>
    </row>
    <row r="765" spans="8:13" ht="30" customHeight="1" x14ac:dyDescent="0.3">
      <c r="H765" s="10" t="s">
        <v>2691</v>
      </c>
      <c r="I765" s="11" t="s">
        <v>2692</v>
      </c>
      <c r="J765" s="10" t="s">
        <v>1393</v>
      </c>
      <c r="K765" s="11" t="s">
        <v>2694</v>
      </c>
      <c r="L765" s="18">
        <f t="shared" si="22"/>
        <v>0.65</v>
      </c>
      <c r="M765" s="15" t="str">
        <f t="shared" si="23"/>
        <v>7</v>
      </c>
    </row>
    <row r="766" spans="8:13" ht="15" customHeight="1" x14ac:dyDescent="0.3">
      <c r="H766" s="10" t="s">
        <v>2695</v>
      </c>
      <c r="I766" s="11" t="s">
        <v>2696</v>
      </c>
      <c r="J766" s="10" t="s">
        <v>1597</v>
      </c>
      <c r="K766" s="11" t="s">
        <v>2697</v>
      </c>
      <c r="L766" s="18">
        <f t="shared" si="22"/>
        <v>0.75</v>
      </c>
      <c r="M766" s="15" t="str">
        <f t="shared" si="23"/>
        <v>7</v>
      </c>
    </row>
    <row r="767" spans="8:13" ht="45" customHeight="1" x14ac:dyDescent="0.3">
      <c r="H767" s="10" t="s">
        <v>2695</v>
      </c>
      <c r="I767" s="11" t="s">
        <v>2696</v>
      </c>
      <c r="J767" s="10" t="s">
        <v>1942</v>
      </c>
      <c r="K767" s="11" t="s">
        <v>1943</v>
      </c>
      <c r="L767" s="18">
        <f t="shared" si="22"/>
        <v>0.87</v>
      </c>
      <c r="M767" s="15" t="str">
        <f t="shared" si="23"/>
        <v>7</v>
      </c>
    </row>
    <row r="768" spans="8:13" ht="30" customHeight="1" x14ac:dyDescent="0.3">
      <c r="H768" s="10" t="s">
        <v>2698</v>
      </c>
      <c r="I768" s="11" t="s">
        <v>2699</v>
      </c>
      <c r="J768" s="10" t="s">
        <v>2116</v>
      </c>
      <c r="K768" s="11" t="s">
        <v>2700</v>
      </c>
      <c r="L768" s="18">
        <f t="shared" si="22"/>
        <v>0.91</v>
      </c>
      <c r="M768" s="15" t="str">
        <f t="shared" si="23"/>
        <v>7</v>
      </c>
    </row>
    <row r="769" spans="8:13" ht="30" customHeight="1" x14ac:dyDescent="0.3">
      <c r="H769" s="10" t="s">
        <v>2698</v>
      </c>
      <c r="I769" s="11" t="s">
        <v>2699</v>
      </c>
      <c r="J769" s="10" t="s">
        <v>1478</v>
      </c>
      <c r="K769" s="11" t="s">
        <v>2701</v>
      </c>
      <c r="L769" s="18">
        <f t="shared" si="22"/>
        <v>0.69</v>
      </c>
      <c r="M769" s="15" t="str">
        <f t="shared" si="23"/>
        <v>7</v>
      </c>
    </row>
    <row r="770" spans="8:13" ht="30" customHeight="1" x14ac:dyDescent="0.3">
      <c r="H770" s="10" t="s">
        <v>2702</v>
      </c>
      <c r="I770" s="11" t="s">
        <v>2703</v>
      </c>
      <c r="J770" s="10" t="s">
        <v>2704</v>
      </c>
      <c r="K770" s="11" t="s">
        <v>2705</v>
      </c>
      <c r="L770" s="18" t="str">
        <f t="shared" si="22"/>
        <v/>
      </c>
      <c r="M770" s="15" t="str">
        <f t="shared" si="23"/>
        <v>7</v>
      </c>
    </row>
    <row r="771" spans="8:13" ht="60" customHeight="1" x14ac:dyDescent="0.3">
      <c r="H771" s="10" t="s">
        <v>2706</v>
      </c>
      <c r="I771" s="11" t="s">
        <v>2707</v>
      </c>
      <c r="J771" s="10" t="s">
        <v>1431</v>
      </c>
      <c r="K771" s="11" t="s">
        <v>2708</v>
      </c>
      <c r="L771" s="18">
        <f t="shared" ref="L771:L834" si="24">IFERROR(INDEX($D$3:$D$704,MATCH(TRIM(J771),$B$3:$B$704,0)),"")</f>
        <v>0.67</v>
      </c>
      <c r="M771" s="15" t="str">
        <f t="shared" ref="M771:M834" si="25">LEFT(TEXT(H771,"0000")*0.1)</f>
        <v>7</v>
      </c>
    </row>
    <row r="772" spans="8:13" ht="30" customHeight="1" x14ac:dyDescent="0.3">
      <c r="H772" s="10" t="s">
        <v>2706</v>
      </c>
      <c r="I772" s="11" t="s">
        <v>2707</v>
      </c>
      <c r="J772" s="10" t="s">
        <v>2360</v>
      </c>
      <c r="K772" s="11" t="s">
        <v>2709</v>
      </c>
      <c r="L772" s="18">
        <f t="shared" si="24"/>
        <v>0.95</v>
      </c>
      <c r="M772" s="15" t="str">
        <f t="shared" si="25"/>
        <v>7</v>
      </c>
    </row>
    <row r="773" spans="8:13" ht="45" customHeight="1" x14ac:dyDescent="0.3">
      <c r="H773" s="10" t="s">
        <v>2710</v>
      </c>
      <c r="I773" s="11" t="s">
        <v>2711</v>
      </c>
      <c r="J773" s="10" t="s">
        <v>2297</v>
      </c>
      <c r="K773" s="11" t="s">
        <v>2712</v>
      </c>
      <c r="L773" s="18">
        <f t="shared" si="24"/>
        <v>0.94</v>
      </c>
      <c r="M773" s="15" t="str">
        <f t="shared" si="25"/>
        <v>7</v>
      </c>
    </row>
    <row r="774" spans="8:13" ht="15" customHeight="1" x14ac:dyDescent="0.3">
      <c r="H774" s="10" t="s">
        <v>2710</v>
      </c>
      <c r="I774" s="11" t="s">
        <v>2711</v>
      </c>
      <c r="J774" s="10" t="s">
        <v>1329</v>
      </c>
      <c r="K774" s="11" t="s">
        <v>2713</v>
      </c>
      <c r="L774" s="18">
        <f t="shared" si="24"/>
        <v>0.61</v>
      </c>
      <c r="M774" s="15" t="str">
        <f t="shared" si="25"/>
        <v>7</v>
      </c>
    </row>
    <row r="775" spans="8:13" ht="15" customHeight="1" x14ac:dyDescent="0.3">
      <c r="H775" s="10" t="s">
        <v>2714</v>
      </c>
      <c r="I775" s="11" t="s">
        <v>2715</v>
      </c>
      <c r="J775" s="10" t="s">
        <v>1463</v>
      </c>
      <c r="K775" s="11" t="s">
        <v>1464</v>
      </c>
      <c r="L775" s="18">
        <f t="shared" si="24"/>
        <v>0.68</v>
      </c>
      <c r="M775" s="15" t="str">
        <f t="shared" si="25"/>
        <v>7</v>
      </c>
    </row>
    <row r="776" spans="8:13" ht="30" customHeight="1" x14ac:dyDescent="0.3">
      <c r="H776" s="10" t="s">
        <v>2714</v>
      </c>
      <c r="I776" s="11" t="s">
        <v>2715</v>
      </c>
      <c r="J776" s="10" t="s">
        <v>1751</v>
      </c>
      <c r="K776" s="11" t="s">
        <v>2716</v>
      </c>
      <c r="L776" s="18">
        <f t="shared" si="24"/>
        <v>0.82</v>
      </c>
      <c r="M776" s="15" t="str">
        <f t="shared" si="25"/>
        <v>7</v>
      </c>
    </row>
    <row r="777" spans="8:13" ht="30" customHeight="1" x14ac:dyDescent="0.3">
      <c r="H777" s="10" t="s">
        <v>2714</v>
      </c>
      <c r="I777" s="11" t="s">
        <v>2715</v>
      </c>
      <c r="J777" s="10" t="s">
        <v>1839</v>
      </c>
      <c r="K777" s="11" t="s">
        <v>2717</v>
      </c>
      <c r="L777" s="18">
        <f t="shared" si="24"/>
        <v>0.84</v>
      </c>
      <c r="M777" s="15" t="str">
        <f t="shared" si="25"/>
        <v>7</v>
      </c>
    </row>
    <row r="778" spans="8:13" ht="30" customHeight="1" x14ac:dyDescent="0.3">
      <c r="H778" s="10" t="s">
        <v>2718</v>
      </c>
      <c r="I778" s="11" t="s">
        <v>2719</v>
      </c>
      <c r="J778" s="10" t="s">
        <v>2055</v>
      </c>
      <c r="K778" s="11" t="s">
        <v>2720</v>
      </c>
      <c r="L778" s="18">
        <f t="shared" si="24"/>
        <v>0.9</v>
      </c>
      <c r="M778" s="15" t="str">
        <f t="shared" si="25"/>
        <v>7</v>
      </c>
    </row>
    <row r="779" spans="8:13" ht="30" customHeight="1" x14ac:dyDescent="0.3">
      <c r="H779" s="10" t="s">
        <v>2718</v>
      </c>
      <c r="I779" s="11" t="s">
        <v>2719</v>
      </c>
      <c r="J779" s="10" t="s">
        <v>1769</v>
      </c>
      <c r="K779" s="11" t="s">
        <v>2721</v>
      </c>
      <c r="L779" s="18">
        <f t="shared" si="24"/>
        <v>0.83</v>
      </c>
      <c r="M779" s="15" t="str">
        <f t="shared" si="25"/>
        <v>7</v>
      </c>
    </row>
    <row r="780" spans="8:13" ht="15" customHeight="1" x14ac:dyDescent="0.3">
      <c r="H780" s="10" t="s">
        <v>2718</v>
      </c>
      <c r="I780" s="11" t="s">
        <v>2719</v>
      </c>
      <c r="J780" s="10" t="s">
        <v>1093</v>
      </c>
      <c r="K780" s="11" t="s">
        <v>2722</v>
      </c>
      <c r="L780" s="18">
        <f t="shared" si="24"/>
        <v>0.41</v>
      </c>
      <c r="M780" s="15" t="str">
        <f t="shared" si="25"/>
        <v>7</v>
      </c>
    </row>
    <row r="781" spans="8:13" ht="45" customHeight="1" x14ac:dyDescent="0.3">
      <c r="H781" s="10" t="s">
        <v>2723</v>
      </c>
      <c r="I781" s="11" t="s">
        <v>2724</v>
      </c>
      <c r="J781" s="10" t="s">
        <v>2023</v>
      </c>
      <c r="K781" s="11" t="s">
        <v>2024</v>
      </c>
      <c r="L781" s="18">
        <f t="shared" si="24"/>
        <v>0.89</v>
      </c>
      <c r="M781" s="15" t="str">
        <f t="shared" si="25"/>
        <v>7</v>
      </c>
    </row>
    <row r="782" spans="8:13" ht="30" customHeight="1" x14ac:dyDescent="0.3">
      <c r="H782" s="10" t="s">
        <v>2725</v>
      </c>
      <c r="I782" s="11" t="s">
        <v>2726</v>
      </c>
      <c r="J782" s="10" t="s">
        <v>2262</v>
      </c>
      <c r="K782" s="11" t="s">
        <v>2727</v>
      </c>
      <c r="L782" s="18">
        <f t="shared" si="24"/>
        <v>0.93</v>
      </c>
      <c r="M782" s="15" t="str">
        <f t="shared" si="25"/>
        <v>7</v>
      </c>
    </row>
    <row r="783" spans="8:13" ht="30" customHeight="1" x14ac:dyDescent="0.3">
      <c r="H783" s="10" t="s">
        <v>2725</v>
      </c>
      <c r="I783" s="11" t="s">
        <v>2726</v>
      </c>
      <c r="J783" s="10" t="s">
        <v>2728</v>
      </c>
      <c r="K783" s="11" t="s">
        <v>2729</v>
      </c>
      <c r="L783" s="18" t="str">
        <f t="shared" si="24"/>
        <v/>
      </c>
      <c r="M783" s="15" t="str">
        <f t="shared" si="25"/>
        <v>7</v>
      </c>
    </row>
    <row r="784" spans="8:13" ht="60" customHeight="1" x14ac:dyDescent="0.3">
      <c r="H784" s="10" t="s">
        <v>2730</v>
      </c>
      <c r="I784" s="11" t="s">
        <v>2731</v>
      </c>
      <c r="J784" s="10" t="s">
        <v>1626</v>
      </c>
      <c r="K784" s="11" t="s">
        <v>2732</v>
      </c>
      <c r="L784" s="18">
        <f t="shared" si="24"/>
        <v>0.77</v>
      </c>
      <c r="M784" s="15" t="str">
        <f t="shared" si="25"/>
        <v>7</v>
      </c>
    </row>
    <row r="785" spans="8:13" ht="30" customHeight="1" x14ac:dyDescent="0.3">
      <c r="H785" s="10" t="s">
        <v>2730</v>
      </c>
      <c r="I785" s="11" t="s">
        <v>2731</v>
      </c>
      <c r="J785" s="10" t="s">
        <v>995</v>
      </c>
      <c r="K785" s="11" t="s">
        <v>1425</v>
      </c>
      <c r="L785" s="18">
        <f t="shared" si="24"/>
        <v>0.36</v>
      </c>
      <c r="M785" s="15" t="str">
        <f t="shared" si="25"/>
        <v>7</v>
      </c>
    </row>
    <row r="786" spans="8:13" ht="30" customHeight="1" x14ac:dyDescent="0.3">
      <c r="H786" s="10" t="s">
        <v>2730</v>
      </c>
      <c r="I786" s="11" t="s">
        <v>2731</v>
      </c>
      <c r="J786" s="10" t="s">
        <v>2238</v>
      </c>
      <c r="K786" s="11" t="s">
        <v>2733</v>
      </c>
      <c r="L786" s="18">
        <f t="shared" si="24"/>
        <v>0.93</v>
      </c>
      <c r="M786" s="15" t="str">
        <f t="shared" si="25"/>
        <v>7</v>
      </c>
    </row>
    <row r="787" spans="8:13" ht="15" customHeight="1" x14ac:dyDescent="0.3">
      <c r="H787" s="10" t="s">
        <v>2730</v>
      </c>
      <c r="I787" s="11" t="s">
        <v>2731</v>
      </c>
      <c r="J787" s="10" t="s">
        <v>2075</v>
      </c>
      <c r="K787" s="11" t="s">
        <v>2734</v>
      </c>
      <c r="L787" s="18">
        <f t="shared" si="24"/>
        <v>0.9</v>
      </c>
      <c r="M787" s="15" t="str">
        <f t="shared" si="25"/>
        <v>7</v>
      </c>
    </row>
    <row r="788" spans="8:13" ht="30" customHeight="1" x14ac:dyDescent="0.3">
      <c r="H788" s="10" t="s">
        <v>2730</v>
      </c>
      <c r="I788" s="11" t="s">
        <v>2731</v>
      </c>
      <c r="J788" s="10" t="s">
        <v>1829</v>
      </c>
      <c r="K788" s="11" t="s">
        <v>2735</v>
      </c>
      <c r="L788" s="18">
        <f t="shared" si="24"/>
        <v>0.84</v>
      </c>
      <c r="M788" s="15" t="str">
        <f t="shared" si="25"/>
        <v>7</v>
      </c>
    </row>
    <row r="789" spans="8:13" ht="45" customHeight="1" x14ac:dyDescent="0.3">
      <c r="H789" s="10" t="s">
        <v>2730</v>
      </c>
      <c r="I789" s="11" t="s">
        <v>2731</v>
      </c>
      <c r="J789" s="10" t="s">
        <v>1839</v>
      </c>
      <c r="K789" s="11" t="s">
        <v>2717</v>
      </c>
      <c r="L789" s="18">
        <f t="shared" si="24"/>
        <v>0.84</v>
      </c>
      <c r="M789" s="15" t="str">
        <f t="shared" si="25"/>
        <v>7</v>
      </c>
    </row>
    <row r="790" spans="8:13" ht="60" customHeight="1" x14ac:dyDescent="0.3">
      <c r="H790" s="10" t="s">
        <v>2736</v>
      </c>
      <c r="I790" s="11" t="s">
        <v>2737</v>
      </c>
      <c r="J790" s="10" t="s">
        <v>1918</v>
      </c>
      <c r="K790" s="11" t="s">
        <v>2738</v>
      </c>
      <c r="L790" s="18">
        <f t="shared" si="24"/>
        <v>0.86</v>
      </c>
      <c r="M790" s="15" t="str">
        <f t="shared" si="25"/>
        <v>7</v>
      </c>
    </row>
    <row r="791" spans="8:13" ht="45" customHeight="1" x14ac:dyDescent="0.3">
      <c r="H791" s="10" t="s">
        <v>2736</v>
      </c>
      <c r="I791" s="11" t="s">
        <v>2737</v>
      </c>
      <c r="J791" s="10" t="s">
        <v>2156</v>
      </c>
      <c r="K791" s="11" t="s">
        <v>2739</v>
      </c>
      <c r="L791" s="18">
        <f t="shared" si="24"/>
        <v>0.91</v>
      </c>
      <c r="M791" s="15" t="str">
        <f t="shared" si="25"/>
        <v>7</v>
      </c>
    </row>
    <row r="792" spans="8:13" ht="45" customHeight="1" x14ac:dyDescent="0.3">
      <c r="H792" s="10" t="s">
        <v>2736</v>
      </c>
      <c r="I792" s="11" t="s">
        <v>2737</v>
      </c>
      <c r="J792" s="10" t="s">
        <v>2262</v>
      </c>
      <c r="K792" s="11" t="s">
        <v>2727</v>
      </c>
      <c r="L792" s="18">
        <f t="shared" si="24"/>
        <v>0.93</v>
      </c>
      <c r="M792" s="15" t="str">
        <f t="shared" si="25"/>
        <v>7</v>
      </c>
    </row>
    <row r="793" spans="8:13" ht="60" customHeight="1" x14ac:dyDescent="0.3">
      <c r="H793" s="10" t="s">
        <v>2736</v>
      </c>
      <c r="I793" s="11" t="s">
        <v>2737</v>
      </c>
      <c r="J793" s="10" t="s">
        <v>1820</v>
      </c>
      <c r="K793" s="11" t="s">
        <v>2740</v>
      </c>
      <c r="L793" s="18">
        <f t="shared" si="24"/>
        <v>0.83</v>
      </c>
      <c r="M793" s="15" t="str">
        <f t="shared" si="25"/>
        <v>7</v>
      </c>
    </row>
    <row r="794" spans="8:13" ht="60" customHeight="1" x14ac:dyDescent="0.3">
      <c r="H794" s="10" t="s">
        <v>2736</v>
      </c>
      <c r="I794" s="11" t="s">
        <v>2737</v>
      </c>
      <c r="J794" s="10" t="s">
        <v>1649</v>
      </c>
      <c r="K794" s="11" t="s">
        <v>2741</v>
      </c>
      <c r="L794" s="18">
        <f t="shared" si="24"/>
        <v>0.78</v>
      </c>
      <c r="M794" s="15" t="str">
        <f t="shared" si="25"/>
        <v>7</v>
      </c>
    </row>
    <row r="795" spans="8:13" ht="75" customHeight="1" x14ac:dyDescent="0.3">
      <c r="H795" s="10" t="s">
        <v>2736</v>
      </c>
      <c r="I795" s="11" t="s">
        <v>2737</v>
      </c>
      <c r="J795" s="10" t="s">
        <v>2273</v>
      </c>
      <c r="K795" s="11" t="s">
        <v>2742</v>
      </c>
      <c r="L795" s="18">
        <f t="shared" si="24"/>
        <v>0.94</v>
      </c>
      <c r="M795" s="15" t="str">
        <f t="shared" si="25"/>
        <v>7</v>
      </c>
    </row>
    <row r="796" spans="8:13" ht="60" customHeight="1" x14ac:dyDescent="0.3">
      <c r="H796" s="10" t="s">
        <v>2736</v>
      </c>
      <c r="I796" s="11" t="s">
        <v>2737</v>
      </c>
      <c r="J796" s="10" t="s">
        <v>2377</v>
      </c>
      <c r="K796" s="11" t="s">
        <v>2743</v>
      </c>
      <c r="L796" s="18">
        <f t="shared" si="24"/>
        <v>0.95</v>
      </c>
      <c r="M796" s="15" t="str">
        <f t="shared" si="25"/>
        <v>7</v>
      </c>
    </row>
    <row r="797" spans="8:13" ht="60" customHeight="1" x14ac:dyDescent="0.3">
      <c r="H797" s="10" t="s">
        <v>2736</v>
      </c>
      <c r="I797" s="11" t="s">
        <v>2737</v>
      </c>
      <c r="J797" s="10" t="s">
        <v>1842</v>
      </c>
      <c r="K797" s="11" t="s">
        <v>2744</v>
      </c>
      <c r="L797" s="18">
        <f t="shared" si="24"/>
        <v>0.84</v>
      </c>
      <c r="M797" s="15" t="str">
        <f t="shared" si="25"/>
        <v>7</v>
      </c>
    </row>
    <row r="798" spans="8:13" ht="30" customHeight="1" x14ac:dyDescent="0.3">
      <c r="H798" s="10" t="s">
        <v>2736</v>
      </c>
      <c r="I798" s="11" t="s">
        <v>2737</v>
      </c>
      <c r="J798" s="10" t="s">
        <v>2544</v>
      </c>
      <c r="K798" s="11" t="s">
        <v>2745</v>
      </c>
      <c r="L798" s="18">
        <f t="shared" si="24"/>
        <v>0.98</v>
      </c>
      <c r="M798" s="15" t="str">
        <f t="shared" si="25"/>
        <v>7</v>
      </c>
    </row>
    <row r="799" spans="8:13" ht="60" customHeight="1" x14ac:dyDescent="0.3">
      <c r="H799" s="10" t="s">
        <v>2736</v>
      </c>
      <c r="I799" s="11" t="s">
        <v>2737</v>
      </c>
      <c r="J799" s="10" t="s">
        <v>1380</v>
      </c>
      <c r="K799" s="11" t="s">
        <v>1381</v>
      </c>
      <c r="L799" s="18">
        <f t="shared" si="24"/>
        <v>0.65</v>
      </c>
      <c r="M799" s="15" t="str">
        <f t="shared" si="25"/>
        <v>7</v>
      </c>
    </row>
    <row r="800" spans="8:13" ht="30" customHeight="1" x14ac:dyDescent="0.3">
      <c r="H800" s="10" t="s">
        <v>2736</v>
      </c>
      <c r="I800" s="11" t="s">
        <v>2737</v>
      </c>
      <c r="J800" s="10" t="s">
        <v>2122</v>
      </c>
      <c r="K800" s="11" t="s">
        <v>2746</v>
      </c>
      <c r="L800" s="18">
        <f t="shared" si="24"/>
        <v>0.91</v>
      </c>
      <c r="M800" s="15" t="str">
        <f t="shared" si="25"/>
        <v>7</v>
      </c>
    </row>
    <row r="801" spans="8:13" ht="30" customHeight="1" x14ac:dyDescent="0.3">
      <c r="H801" s="10" t="s">
        <v>2736</v>
      </c>
      <c r="I801" s="11" t="s">
        <v>2737</v>
      </c>
      <c r="J801" s="10" t="s">
        <v>2728</v>
      </c>
      <c r="K801" s="11" t="s">
        <v>2729</v>
      </c>
      <c r="L801" s="18" t="str">
        <f t="shared" si="24"/>
        <v/>
      </c>
      <c r="M801" s="15" t="str">
        <f t="shared" si="25"/>
        <v>7</v>
      </c>
    </row>
    <row r="802" spans="8:13" ht="30" customHeight="1" x14ac:dyDescent="0.3">
      <c r="H802" s="10" t="s">
        <v>2747</v>
      </c>
      <c r="I802" s="11" t="s">
        <v>2748</v>
      </c>
      <c r="J802" s="10" t="s">
        <v>2001</v>
      </c>
      <c r="K802" s="11" t="s">
        <v>2749</v>
      </c>
      <c r="L802" s="18">
        <f t="shared" si="24"/>
        <v>0.88</v>
      </c>
      <c r="M802" s="15" t="str">
        <f t="shared" si="25"/>
        <v>7</v>
      </c>
    </row>
    <row r="803" spans="8:13" ht="45" customHeight="1" x14ac:dyDescent="0.3">
      <c r="H803" s="10" t="s">
        <v>2747</v>
      </c>
      <c r="I803" s="11" t="s">
        <v>2748</v>
      </c>
      <c r="J803" s="10" t="s">
        <v>2475</v>
      </c>
      <c r="K803" s="11" t="s">
        <v>2750</v>
      </c>
      <c r="L803" s="18">
        <f t="shared" si="24"/>
        <v>0.97</v>
      </c>
      <c r="M803" s="15" t="str">
        <f t="shared" si="25"/>
        <v>7</v>
      </c>
    </row>
    <row r="804" spans="8:13" ht="30" customHeight="1" x14ac:dyDescent="0.3">
      <c r="H804" s="10" t="s">
        <v>2751</v>
      </c>
      <c r="I804" s="11" t="s">
        <v>2752</v>
      </c>
      <c r="J804" s="10" t="s">
        <v>11</v>
      </c>
      <c r="K804" s="11" t="s">
        <v>2693</v>
      </c>
      <c r="L804" s="18">
        <f t="shared" si="24"/>
        <v>3.0000000000000001E-3</v>
      </c>
      <c r="M804" s="15" t="str">
        <f t="shared" si="25"/>
        <v>7</v>
      </c>
    </row>
    <row r="805" spans="8:13" ht="30" customHeight="1" x14ac:dyDescent="0.3">
      <c r="H805" s="10" t="s">
        <v>2751</v>
      </c>
      <c r="I805" s="11" t="s">
        <v>2752</v>
      </c>
      <c r="J805" s="10" t="s">
        <v>2144</v>
      </c>
      <c r="K805" s="11" t="s">
        <v>2753</v>
      </c>
      <c r="L805" s="18">
        <f t="shared" si="24"/>
        <v>0.91</v>
      </c>
      <c r="M805" s="15" t="str">
        <f t="shared" si="25"/>
        <v>7</v>
      </c>
    </row>
    <row r="806" spans="8:13" ht="45" customHeight="1" x14ac:dyDescent="0.3">
      <c r="H806" s="10" t="s">
        <v>2751</v>
      </c>
      <c r="I806" s="11" t="s">
        <v>2752</v>
      </c>
      <c r="J806" s="10" t="s">
        <v>1219</v>
      </c>
      <c r="K806" s="11" t="s">
        <v>2754</v>
      </c>
      <c r="L806" s="18">
        <f t="shared" si="24"/>
        <v>0.55000000000000004</v>
      </c>
      <c r="M806" s="15" t="str">
        <f t="shared" si="25"/>
        <v>7</v>
      </c>
    </row>
    <row r="807" spans="8:13" ht="45" customHeight="1" x14ac:dyDescent="0.3">
      <c r="H807" s="10" t="s">
        <v>2751</v>
      </c>
      <c r="I807" s="11" t="s">
        <v>2752</v>
      </c>
      <c r="J807" s="10" t="s">
        <v>1289</v>
      </c>
      <c r="K807" s="11" t="s">
        <v>2755</v>
      </c>
      <c r="L807" s="18">
        <f t="shared" si="24"/>
        <v>0.59</v>
      </c>
      <c r="M807" s="15" t="str">
        <f t="shared" si="25"/>
        <v>7</v>
      </c>
    </row>
    <row r="808" spans="8:13" ht="30" customHeight="1" x14ac:dyDescent="0.3">
      <c r="H808" s="10" t="s">
        <v>2751</v>
      </c>
      <c r="I808" s="11" t="s">
        <v>2752</v>
      </c>
      <c r="J808" s="10" t="s">
        <v>1569</v>
      </c>
      <c r="K808" s="11" t="s">
        <v>2756</v>
      </c>
      <c r="L808" s="18">
        <f t="shared" si="24"/>
        <v>0.73</v>
      </c>
      <c r="M808" s="15" t="str">
        <f t="shared" si="25"/>
        <v>7</v>
      </c>
    </row>
    <row r="809" spans="8:13" ht="30" customHeight="1" x14ac:dyDescent="0.3">
      <c r="H809" s="10" t="s">
        <v>2751</v>
      </c>
      <c r="I809" s="11" t="s">
        <v>2752</v>
      </c>
      <c r="J809" s="10" t="s">
        <v>1421</v>
      </c>
      <c r="K809" s="11" t="s">
        <v>2757</v>
      </c>
      <c r="L809" s="18">
        <f t="shared" si="24"/>
        <v>0.66</v>
      </c>
      <c r="M809" s="15" t="str">
        <f t="shared" si="25"/>
        <v>7</v>
      </c>
    </row>
    <row r="810" spans="8:13" ht="45" customHeight="1" x14ac:dyDescent="0.3">
      <c r="H810" s="10" t="s">
        <v>2751</v>
      </c>
      <c r="I810" s="11" t="s">
        <v>2752</v>
      </c>
      <c r="J810" s="10" t="s">
        <v>1682</v>
      </c>
      <c r="K810" s="11" t="s">
        <v>2758</v>
      </c>
      <c r="L810" s="18">
        <f t="shared" si="24"/>
        <v>0.79</v>
      </c>
      <c r="M810" s="15" t="str">
        <f t="shared" si="25"/>
        <v>7</v>
      </c>
    </row>
    <row r="811" spans="8:13" ht="30" customHeight="1" x14ac:dyDescent="0.3">
      <c r="H811" s="10" t="s">
        <v>2751</v>
      </c>
      <c r="I811" s="11" t="s">
        <v>2752</v>
      </c>
      <c r="J811" s="10" t="s">
        <v>2227</v>
      </c>
      <c r="K811" s="11" t="s">
        <v>2759</v>
      </c>
      <c r="L811" s="18">
        <f t="shared" si="24"/>
        <v>0.93</v>
      </c>
      <c r="M811" s="15" t="str">
        <f t="shared" si="25"/>
        <v>7</v>
      </c>
    </row>
    <row r="812" spans="8:13" ht="30" customHeight="1" x14ac:dyDescent="0.3">
      <c r="H812" s="10" t="s">
        <v>2751</v>
      </c>
      <c r="I812" s="11" t="s">
        <v>2752</v>
      </c>
      <c r="J812" s="10" t="s">
        <v>1285</v>
      </c>
      <c r="K812" s="11" t="s">
        <v>2760</v>
      </c>
      <c r="L812" s="18">
        <f t="shared" si="24"/>
        <v>0.59</v>
      </c>
      <c r="M812" s="15" t="str">
        <f t="shared" si="25"/>
        <v>7</v>
      </c>
    </row>
    <row r="813" spans="8:13" ht="45" customHeight="1" x14ac:dyDescent="0.3">
      <c r="H813" s="10" t="s">
        <v>2751</v>
      </c>
      <c r="I813" s="11" t="s">
        <v>2752</v>
      </c>
      <c r="J813" s="10" t="s">
        <v>1485</v>
      </c>
      <c r="K813" s="11" t="s">
        <v>2761</v>
      </c>
      <c r="L813" s="18">
        <f t="shared" si="24"/>
        <v>0.7</v>
      </c>
      <c r="M813" s="15" t="str">
        <f t="shared" si="25"/>
        <v>7</v>
      </c>
    </row>
    <row r="814" spans="8:13" ht="30" customHeight="1" x14ac:dyDescent="0.3">
      <c r="H814" s="10" t="s">
        <v>2762</v>
      </c>
      <c r="I814" s="11" t="s">
        <v>2763</v>
      </c>
      <c r="J814" s="10" t="s">
        <v>11</v>
      </c>
      <c r="K814" s="11" t="s">
        <v>2693</v>
      </c>
      <c r="L814" s="18">
        <f t="shared" si="24"/>
        <v>3.0000000000000001E-3</v>
      </c>
      <c r="M814" s="15" t="str">
        <f t="shared" si="25"/>
        <v>7</v>
      </c>
    </row>
    <row r="815" spans="8:13" ht="45" customHeight="1" x14ac:dyDescent="0.3">
      <c r="H815" s="10" t="s">
        <v>2762</v>
      </c>
      <c r="I815" s="11" t="s">
        <v>2763</v>
      </c>
      <c r="J815" s="10" t="s">
        <v>1496</v>
      </c>
      <c r="K815" s="11" t="s">
        <v>2764</v>
      </c>
      <c r="L815" s="18">
        <f t="shared" si="24"/>
        <v>0.71</v>
      </c>
      <c r="M815" s="15" t="str">
        <f t="shared" si="25"/>
        <v>7</v>
      </c>
    </row>
    <row r="816" spans="8:13" ht="45" customHeight="1" x14ac:dyDescent="0.3">
      <c r="H816" s="10" t="s">
        <v>2765</v>
      </c>
      <c r="I816" s="11" t="s">
        <v>2766</v>
      </c>
      <c r="J816" s="10" t="s">
        <v>11</v>
      </c>
      <c r="K816" s="11" t="s">
        <v>2693</v>
      </c>
      <c r="L816" s="18">
        <f t="shared" si="24"/>
        <v>3.0000000000000001E-3</v>
      </c>
      <c r="M816" s="15" t="str">
        <f t="shared" si="25"/>
        <v>7</v>
      </c>
    </row>
    <row r="817" spans="8:13" ht="45" customHeight="1" x14ac:dyDescent="0.3">
      <c r="H817" s="10" t="s">
        <v>2765</v>
      </c>
      <c r="I817" s="11" t="s">
        <v>2766</v>
      </c>
      <c r="J817" s="10" t="s">
        <v>1606</v>
      </c>
      <c r="K817" s="11" t="s">
        <v>2767</v>
      </c>
      <c r="L817" s="18">
        <f t="shared" si="24"/>
        <v>0.75</v>
      </c>
      <c r="M817" s="15" t="str">
        <f t="shared" si="25"/>
        <v>7</v>
      </c>
    </row>
    <row r="818" spans="8:13" ht="45" customHeight="1" x14ac:dyDescent="0.3">
      <c r="H818" s="10" t="s">
        <v>2765</v>
      </c>
      <c r="I818" s="11" t="s">
        <v>2766</v>
      </c>
      <c r="J818" s="10" t="s">
        <v>1079</v>
      </c>
      <c r="K818" s="11" t="s">
        <v>2768</v>
      </c>
      <c r="L818" s="18">
        <f t="shared" si="24"/>
        <v>0.4</v>
      </c>
      <c r="M818" s="15" t="str">
        <f t="shared" si="25"/>
        <v>7</v>
      </c>
    </row>
    <row r="819" spans="8:13" ht="45" customHeight="1" x14ac:dyDescent="0.3">
      <c r="H819" s="10" t="s">
        <v>2765</v>
      </c>
      <c r="I819" s="11" t="s">
        <v>2766</v>
      </c>
      <c r="J819" s="10" t="s">
        <v>2005</v>
      </c>
      <c r="K819" s="11" t="s">
        <v>2769</v>
      </c>
      <c r="L819" s="18">
        <f t="shared" si="24"/>
        <v>0.88</v>
      </c>
      <c r="M819" s="15" t="str">
        <f t="shared" si="25"/>
        <v>7</v>
      </c>
    </row>
    <row r="820" spans="8:13" ht="45" customHeight="1" x14ac:dyDescent="0.3">
      <c r="H820" s="10" t="s">
        <v>2765</v>
      </c>
      <c r="I820" s="11" t="s">
        <v>2766</v>
      </c>
      <c r="J820" s="10" t="s">
        <v>1451</v>
      </c>
      <c r="K820" s="11" t="s">
        <v>2770</v>
      </c>
      <c r="L820" s="18">
        <f t="shared" si="24"/>
        <v>0.67</v>
      </c>
      <c r="M820" s="15" t="str">
        <f t="shared" si="25"/>
        <v>7</v>
      </c>
    </row>
    <row r="821" spans="8:13" ht="45" customHeight="1" x14ac:dyDescent="0.3">
      <c r="H821" s="10" t="s">
        <v>2765</v>
      </c>
      <c r="I821" s="11" t="s">
        <v>2766</v>
      </c>
      <c r="J821" s="10" t="s">
        <v>1922</v>
      </c>
      <c r="K821" s="11" t="s">
        <v>2771</v>
      </c>
      <c r="L821" s="18">
        <f t="shared" si="24"/>
        <v>0.86</v>
      </c>
      <c r="M821" s="15" t="str">
        <f t="shared" si="25"/>
        <v>7</v>
      </c>
    </row>
    <row r="822" spans="8:13" ht="45" customHeight="1" x14ac:dyDescent="0.3">
      <c r="H822" s="10" t="s">
        <v>2765</v>
      </c>
      <c r="I822" s="11" t="s">
        <v>2766</v>
      </c>
      <c r="J822" s="10" t="s">
        <v>1268</v>
      </c>
      <c r="K822" s="11" t="s">
        <v>1269</v>
      </c>
      <c r="L822" s="18">
        <f t="shared" si="24"/>
        <v>0.59</v>
      </c>
      <c r="M822" s="15" t="str">
        <f t="shared" si="25"/>
        <v>7</v>
      </c>
    </row>
    <row r="823" spans="8:13" ht="45" customHeight="1" x14ac:dyDescent="0.3">
      <c r="H823" s="10" t="s">
        <v>2765</v>
      </c>
      <c r="I823" s="11" t="s">
        <v>2766</v>
      </c>
      <c r="J823" s="10" t="s">
        <v>1743</v>
      </c>
      <c r="K823" s="11" t="s">
        <v>2654</v>
      </c>
      <c r="L823" s="18">
        <f t="shared" si="24"/>
        <v>0.82</v>
      </c>
      <c r="M823" s="15" t="str">
        <f t="shared" si="25"/>
        <v>7</v>
      </c>
    </row>
    <row r="824" spans="8:13" ht="45" customHeight="1" x14ac:dyDescent="0.3">
      <c r="H824" s="10" t="s">
        <v>2765</v>
      </c>
      <c r="I824" s="11" t="s">
        <v>2766</v>
      </c>
      <c r="J824" s="10" t="s">
        <v>2772</v>
      </c>
      <c r="K824" s="11" t="s">
        <v>2773</v>
      </c>
      <c r="L824" s="18" t="str">
        <f t="shared" si="24"/>
        <v/>
      </c>
      <c r="M824" s="15" t="str">
        <f t="shared" si="25"/>
        <v>7</v>
      </c>
    </row>
    <row r="825" spans="8:13" ht="15" customHeight="1" x14ac:dyDescent="0.3">
      <c r="H825" s="10" t="s">
        <v>2774</v>
      </c>
      <c r="I825" s="11" t="s">
        <v>2775</v>
      </c>
      <c r="J825" s="10" t="s">
        <v>11</v>
      </c>
      <c r="K825" s="11" t="s">
        <v>2693</v>
      </c>
      <c r="L825" s="18">
        <f t="shared" si="24"/>
        <v>3.0000000000000001E-3</v>
      </c>
      <c r="M825" s="15" t="str">
        <f t="shared" si="25"/>
        <v>7</v>
      </c>
    </row>
    <row r="826" spans="8:13" ht="45" customHeight="1" x14ac:dyDescent="0.3">
      <c r="H826" s="10" t="s">
        <v>2774</v>
      </c>
      <c r="I826" s="11" t="s">
        <v>2775</v>
      </c>
      <c r="J826" s="10" t="s">
        <v>2291</v>
      </c>
      <c r="K826" s="11" t="s">
        <v>2776</v>
      </c>
      <c r="L826" s="18">
        <f t="shared" si="24"/>
        <v>0.94</v>
      </c>
      <c r="M826" s="15" t="str">
        <f t="shared" si="25"/>
        <v>7</v>
      </c>
    </row>
    <row r="827" spans="8:13" ht="30" customHeight="1" x14ac:dyDescent="0.3">
      <c r="H827" s="10" t="s">
        <v>2777</v>
      </c>
      <c r="I827" s="11" t="s">
        <v>2778</v>
      </c>
      <c r="J827" s="10" t="s">
        <v>11</v>
      </c>
      <c r="K827" s="11" t="s">
        <v>2693</v>
      </c>
      <c r="L827" s="18">
        <f t="shared" si="24"/>
        <v>3.0000000000000001E-3</v>
      </c>
      <c r="M827" s="15" t="str">
        <f t="shared" si="25"/>
        <v>7</v>
      </c>
    </row>
    <row r="828" spans="8:13" ht="30" customHeight="1" x14ac:dyDescent="0.3">
      <c r="H828" s="10" t="s">
        <v>2777</v>
      </c>
      <c r="I828" s="11" t="s">
        <v>2778</v>
      </c>
      <c r="J828" s="10" t="s">
        <v>2491</v>
      </c>
      <c r="K828" s="11" t="s">
        <v>2779</v>
      </c>
      <c r="L828" s="18">
        <f t="shared" si="24"/>
        <v>0.97</v>
      </c>
      <c r="M828" s="15" t="str">
        <f t="shared" si="25"/>
        <v>7</v>
      </c>
    </row>
    <row r="829" spans="8:13" ht="30" customHeight="1" x14ac:dyDescent="0.3">
      <c r="H829" s="10" t="s">
        <v>2777</v>
      </c>
      <c r="I829" s="11" t="s">
        <v>2778</v>
      </c>
      <c r="J829" s="10" t="s">
        <v>913</v>
      </c>
      <c r="K829" s="11" t="s">
        <v>2780</v>
      </c>
      <c r="L829" s="18">
        <f t="shared" si="24"/>
        <v>0.27</v>
      </c>
      <c r="M829" s="15" t="str">
        <f t="shared" si="25"/>
        <v>7</v>
      </c>
    </row>
    <row r="830" spans="8:13" ht="45" customHeight="1" x14ac:dyDescent="0.3">
      <c r="H830" s="10" t="s">
        <v>2777</v>
      </c>
      <c r="I830" s="11" t="s">
        <v>2778</v>
      </c>
      <c r="J830" s="10" t="s">
        <v>2595</v>
      </c>
      <c r="K830" s="11" t="s">
        <v>2781</v>
      </c>
      <c r="L830" s="18">
        <f t="shared" si="24"/>
        <v>0.99</v>
      </c>
      <c r="M830" s="15" t="str">
        <f t="shared" si="25"/>
        <v>7</v>
      </c>
    </row>
    <row r="831" spans="8:13" ht="45" customHeight="1" x14ac:dyDescent="0.3">
      <c r="H831" s="10" t="s">
        <v>2777</v>
      </c>
      <c r="I831" s="11" t="s">
        <v>2778</v>
      </c>
      <c r="J831" s="10" t="s">
        <v>2782</v>
      </c>
      <c r="K831" s="11" t="s">
        <v>2783</v>
      </c>
      <c r="L831" s="18" t="str">
        <f t="shared" si="24"/>
        <v/>
      </c>
      <c r="M831" s="15" t="str">
        <f t="shared" si="25"/>
        <v>7</v>
      </c>
    </row>
    <row r="832" spans="8:13" ht="30" customHeight="1" x14ac:dyDescent="0.3">
      <c r="H832" s="10" t="s">
        <v>2784</v>
      </c>
      <c r="I832" s="11" t="s">
        <v>2785</v>
      </c>
      <c r="J832" s="10" t="s">
        <v>11</v>
      </c>
      <c r="K832" s="11" t="s">
        <v>2693</v>
      </c>
      <c r="L832" s="18">
        <f t="shared" si="24"/>
        <v>3.0000000000000001E-3</v>
      </c>
      <c r="M832" s="15" t="str">
        <f t="shared" si="25"/>
        <v>7</v>
      </c>
    </row>
    <row r="833" spans="8:13" ht="30" customHeight="1" x14ac:dyDescent="0.3">
      <c r="H833" s="10" t="s">
        <v>2784</v>
      </c>
      <c r="I833" s="11" t="s">
        <v>2785</v>
      </c>
      <c r="J833" s="10" t="s">
        <v>2097</v>
      </c>
      <c r="K833" s="11" t="s">
        <v>2786</v>
      </c>
      <c r="L833" s="18">
        <f t="shared" si="24"/>
        <v>0.91</v>
      </c>
      <c r="M833" s="15" t="str">
        <f t="shared" si="25"/>
        <v>7</v>
      </c>
    </row>
    <row r="834" spans="8:13" ht="15" customHeight="1" x14ac:dyDescent="0.3">
      <c r="H834" s="10" t="s">
        <v>2787</v>
      </c>
      <c r="I834" s="11" t="s">
        <v>2788</v>
      </c>
      <c r="J834" s="10" t="s">
        <v>2382</v>
      </c>
      <c r="K834" s="11" t="s">
        <v>2789</v>
      </c>
      <c r="L834" s="18">
        <f t="shared" si="24"/>
        <v>0.95</v>
      </c>
      <c r="M834" s="15" t="str">
        <f t="shared" si="25"/>
        <v>7</v>
      </c>
    </row>
    <row r="835" spans="8:13" ht="45" customHeight="1" x14ac:dyDescent="0.3">
      <c r="H835" s="10" t="s">
        <v>2790</v>
      </c>
      <c r="I835" s="11" t="s">
        <v>2791</v>
      </c>
      <c r="J835" s="10" t="s">
        <v>476</v>
      </c>
      <c r="K835" s="11" t="s">
        <v>1190</v>
      </c>
      <c r="L835" s="18">
        <f t="shared" ref="L835:L898" si="26">IFERROR(INDEX($D$3:$D$704,MATCH(TRIM(J835),$B$3:$B$704,0)),"")</f>
        <v>3.5000000000000003E-2</v>
      </c>
      <c r="M835" s="15" t="str">
        <f t="shared" ref="M835:M898" si="27">LEFT(TEXT(H835,"0000")*0.1)</f>
        <v>7</v>
      </c>
    </row>
    <row r="836" spans="8:13" ht="30" customHeight="1" x14ac:dyDescent="0.3">
      <c r="H836" s="10" t="s">
        <v>2790</v>
      </c>
      <c r="I836" s="11" t="s">
        <v>2791</v>
      </c>
      <c r="J836" s="10" t="s">
        <v>2079</v>
      </c>
      <c r="K836" s="11" t="s">
        <v>2792</v>
      </c>
      <c r="L836" s="18">
        <f t="shared" si="26"/>
        <v>0.9</v>
      </c>
      <c r="M836" s="15" t="str">
        <f t="shared" si="27"/>
        <v>7</v>
      </c>
    </row>
    <row r="837" spans="8:13" ht="30" customHeight="1" x14ac:dyDescent="0.3">
      <c r="H837" s="10" t="s">
        <v>2793</v>
      </c>
      <c r="I837" s="11" t="s">
        <v>2794</v>
      </c>
      <c r="J837" s="10" t="s">
        <v>2475</v>
      </c>
      <c r="K837" s="11" t="s">
        <v>2750</v>
      </c>
      <c r="L837" s="18">
        <f t="shared" si="26"/>
        <v>0.97</v>
      </c>
      <c r="M837" s="15" t="str">
        <f t="shared" si="27"/>
        <v>7</v>
      </c>
    </row>
    <row r="838" spans="8:13" ht="45" customHeight="1" x14ac:dyDescent="0.3">
      <c r="H838" s="10" t="s">
        <v>2793</v>
      </c>
      <c r="I838" s="11" t="s">
        <v>2794</v>
      </c>
      <c r="J838" s="10" t="s">
        <v>1352</v>
      </c>
      <c r="K838" s="11" t="s">
        <v>2795</v>
      </c>
      <c r="L838" s="18">
        <f t="shared" si="26"/>
        <v>0.64</v>
      </c>
      <c r="M838" s="15" t="str">
        <f t="shared" si="27"/>
        <v>7</v>
      </c>
    </row>
    <row r="839" spans="8:13" ht="30" customHeight="1" x14ac:dyDescent="0.3">
      <c r="H839" s="10" t="s">
        <v>2793</v>
      </c>
      <c r="I839" s="11" t="s">
        <v>2794</v>
      </c>
      <c r="J839" s="10" t="s">
        <v>2079</v>
      </c>
      <c r="K839" s="11" t="s">
        <v>2792</v>
      </c>
      <c r="L839" s="18">
        <f t="shared" si="26"/>
        <v>0.9</v>
      </c>
      <c r="M839" s="15" t="str">
        <f t="shared" si="27"/>
        <v>7</v>
      </c>
    </row>
    <row r="840" spans="8:13" ht="30" customHeight="1" x14ac:dyDescent="0.3">
      <c r="H840" s="10" t="s">
        <v>2796</v>
      </c>
      <c r="I840" s="11" t="s">
        <v>2797</v>
      </c>
      <c r="J840" s="10" t="s">
        <v>2180</v>
      </c>
      <c r="K840" s="11" t="s">
        <v>2798</v>
      </c>
      <c r="L840" s="18">
        <f t="shared" si="26"/>
        <v>0.92</v>
      </c>
      <c r="M840" s="15" t="str">
        <f t="shared" si="27"/>
        <v>7</v>
      </c>
    </row>
    <row r="841" spans="8:13" ht="30" customHeight="1" x14ac:dyDescent="0.3">
      <c r="H841" s="10" t="s">
        <v>2796</v>
      </c>
      <c r="I841" s="11" t="s">
        <v>2797</v>
      </c>
      <c r="J841" s="10" t="s">
        <v>2556</v>
      </c>
      <c r="K841" s="11" t="s">
        <v>2799</v>
      </c>
      <c r="L841" s="18">
        <f t="shared" si="26"/>
        <v>0.98</v>
      </c>
      <c r="M841" s="15" t="str">
        <f t="shared" si="27"/>
        <v>7</v>
      </c>
    </row>
    <row r="842" spans="8:13" ht="30" customHeight="1" x14ac:dyDescent="0.3">
      <c r="H842" s="10" t="s">
        <v>2800</v>
      </c>
      <c r="I842" s="11" t="s">
        <v>2801</v>
      </c>
      <c r="J842" s="10" t="s">
        <v>476</v>
      </c>
      <c r="K842" s="11" t="s">
        <v>1190</v>
      </c>
      <c r="L842" s="18">
        <f t="shared" si="26"/>
        <v>3.5000000000000003E-2</v>
      </c>
      <c r="M842" s="15" t="str">
        <f t="shared" si="27"/>
        <v>7</v>
      </c>
    </row>
    <row r="843" spans="8:13" ht="30" customHeight="1" x14ac:dyDescent="0.3">
      <c r="H843" s="10" t="s">
        <v>2800</v>
      </c>
      <c r="I843" s="11" t="s">
        <v>2801</v>
      </c>
      <c r="J843" s="10" t="s">
        <v>2802</v>
      </c>
      <c r="K843" s="11" t="s">
        <v>2803</v>
      </c>
      <c r="L843" s="18" t="str">
        <f t="shared" si="26"/>
        <v/>
      </c>
      <c r="M843" s="15" t="str">
        <f t="shared" si="27"/>
        <v>7</v>
      </c>
    </row>
    <row r="844" spans="8:13" ht="30" customHeight="1" x14ac:dyDescent="0.3">
      <c r="H844" s="10" t="s">
        <v>2804</v>
      </c>
      <c r="I844" s="11" t="s">
        <v>2805</v>
      </c>
      <c r="J844" s="10" t="s">
        <v>1186</v>
      </c>
      <c r="K844" s="11" t="s">
        <v>2806</v>
      </c>
      <c r="L844" s="18">
        <f t="shared" si="26"/>
        <v>0.52</v>
      </c>
      <c r="M844" s="15" t="str">
        <f t="shared" si="27"/>
        <v>7</v>
      </c>
    </row>
    <row r="845" spans="8:13" ht="15" customHeight="1" x14ac:dyDescent="0.3">
      <c r="H845" s="10" t="s">
        <v>2807</v>
      </c>
      <c r="I845" s="11" t="s">
        <v>2808</v>
      </c>
      <c r="J845" s="10" t="s">
        <v>476</v>
      </c>
      <c r="K845" s="11" t="s">
        <v>1190</v>
      </c>
      <c r="L845" s="18">
        <f t="shared" si="26"/>
        <v>3.5000000000000003E-2</v>
      </c>
      <c r="M845" s="15" t="str">
        <f t="shared" si="27"/>
        <v>7</v>
      </c>
    </row>
    <row r="846" spans="8:13" ht="30" customHeight="1" x14ac:dyDescent="0.3">
      <c r="H846" s="10" t="s">
        <v>2809</v>
      </c>
      <c r="I846" s="11" t="s">
        <v>2810</v>
      </c>
      <c r="J846" s="10" t="s">
        <v>769</v>
      </c>
      <c r="K846" s="11" t="s">
        <v>2811</v>
      </c>
      <c r="L846" s="18">
        <f t="shared" si="26"/>
        <v>0.16</v>
      </c>
      <c r="M846" s="15" t="str">
        <f t="shared" si="27"/>
        <v>7</v>
      </c>
    </row>
    <row r="847" spans="8:13" ht="15" customHeight="1" x14ac:dyDescent="0.3">
      <c r="H847" s="10" t="s">
        <v>2809</v>
      </c>
      <c r="I847" s="11" t="s">
        <v>2810</v>
      </c>
      <c r="J847" s="10" t="s">
        <v>2499</v>
      </c>
      <c r="K847" s="11" t="s">
        <v>2812</v>
      </c>
      <c r="L847" s="18">
        <f t="shared" si="26"/>
        <v>0.97</v>
      </c>
      <c r="M847" s="15" t="str">
        <f t="shared" si="27"/>
        <v>7</v>
      </c>
    </row>
    <row r="848" spans="8:13" ht="30" customHeight="1" x14ac:dyDescent="0.3">
      <c r="H848" s="10" t="s">
        <v>2813</v>
      </c>
      <c r="I848" s="11" t="s">
        <v>2814</v>
      </c>
      <c r="J848" s="10" t="s">
        <v>1797</v>
      </c>
      <c r="K848" s="11" t="s">
        <v>2815</v>
      </c>
      <c r="L848" s="18">
        <f t="shared" si="26"/>
        <v>0.83</v>
      </c>
      <c r="M848" s="15" t="str">
        <f t="shared" si="27"/>
        <v>7</v>
      </c>
    </row>
    <row r="849" spans="8:13" ht="15" customHeight="1" x14ac:dyDescent="0.3">
      <c r="H849" s="10" t="s">
        <v>2816</v>
      </c>
      <c r="I849" s="11" t="s">
        <v>2817</v>
      </c>
      <c r="J849" s="10" t="s">
        <v>2352</v>
      </c>
      <c r="K849" s="11" t="s">
        <v>2818</v>
      </c>
      <c r="L849" s="18">
        <f t="shared" si="26"/>
        <v>0.95</v>
      </c>
      <c r="M849" s="15" t="str">
        <f t="shared" si="27"/>
        <v>7</v>
      </c>
    </row>
    <row r="850" spans="8:13" ht="30" customHeight="1" x14ac:dyDescent="0.3">
      <c r="H850" s="10" t="s">
        <v>2819</v>
      </c>
      <c r="I850" s="11" t="s">
        <v>2820</v>
      </c>
      <c r="J850" s="10" t="s">
        <v>762</v>
      </c>
      <c r="K850" s="11" t="s">
        <v>763</v>
      </c>
      <c r="L850" s="18">
        <f t="shared" si="26"/>
        <v>0.15</v>
      </c>
      <c r="M850" s="15" t="str">
        <f t="shared" si="27"/>
        <v>7</v>
      </c>
    </row>
    <row r="851" spans="8:13" ht="30" customHeight="1" x14ac:dyDescent="0.3">
      <c r="H851" s="10" t="s">
        <v>2819</v>
      </c>
      <c r="I851" s="11" t="s">
        <v>2820</v>
      </c>
      <c r="J851" s="10" t="s">
        <v>2666</v>
      </c>
      <c r="K851" s="11" t="s">
        <v>2667</v>
      </c>
      <c r="L851" s="18" t="str">
        <f t="shared" si="26"/>
        <v/>
      </c>
      <c r="M851" s="15" t="str">
        <f t="shared" si="27"/>
        <v>7</v>
      </c>
    </row>
    <row r="852" spans="8:13" ht="45" customHeight="1" x14ac:dyDescent="0.3">
      <c r="H852" s="10" t="s">
        <v>2821</v>
      </c>
      <c r="I852" s="11" t="s">
        <v>2822</v>
      </c>
      <c r="J852" s="10" t="s">
        <v>1063</v>
      </c>
      <c r="K852" s="11" t="s">
        <v>2823</v>
      </c>
      <c r="L852" s="18">
        <f t="shared" si="26"/>
        <v>0.39</v>
      </c>
      <c r="M852" s="15" t="str">
        <f t="shared" si="27"/>
        <v>7</v>
      </c>
    </row>
    <row r="853" spans="8:13" ht="45" customHeight="1" x14ac:dyDescent="0.3">
      <c r="H853" s="10" t="s">
        <v>2821</v>
      </c>
      <c r="I853" s="11" t="s">
        <v>2822</v>
      </c>
      <c r="J853" s="10" t="s">
        <v>11</v>
      </c>
      <c r="K853" s="11" t="s">
        <v>2693</v>
      </c>
      <c r="L853" s="18">
        <f t="shared" si="26"/>
        <v>3.0000000000000001E-3</v>
      </c>
      <c r="M853" s="15" t="str">
        <f t="shared" si="27"/>
        <v>7</v>
      </c>
    </row>
    <row r="854" spans="8:13" ht="45" customHeight="1" x14ac:dyDescent="0.3">
      <c r="H854" s="10" t="s">
        <v>2821</v>
      </c>
      <c r="I854" s="11" t="s">
        <v>2822</v>
      </c>
      <c r="J854" s="10" t="s">
        <v>1618</v>
      </c>
      <c r="K854" s="11" t="s">
        <v>2824</v>
      </c>
      <c r="L854" s="18">
        <f t="shared" si="26"/>
        <v>0.76</v>
      </c>
      <c r="M854" s="15" t="str">
        <f t="shared" si="27"/>
        <v>7</v>
      </c>
    </row>
    <row r="855" spans="8:13" ht="45" customHeight="1" x14ac:dyDescent="0.3">
      <c r="H855" s="10" t="s">
        <v>2821</v>
      </c>
      <c r="I855" s="11" t="s">
        <v>2822</v>
      </c>
      <c r="J855" s="10" t="s">
        <v>2130</v>
      </c>
      <c r="K855" s="11" t="s">
        <v>2825</v>
      </c>
      <c r="L855" s="18">
        <f t="shared" si="26"/>
        <v>0.91</v>
      </c>
      <c r="M855" s="15" t="str">
        <f t="shared" si="27"/>
        <v>7</v>
      </c>
    </row>
    <row r="856" spans="8:13" ht="45" customHeight="1" x14ac:dyDescent="0.3">
      <c r="H856" s="10" t="s">
        <v>2821</v>
      </c>
      <c r="I856" s="11" t="s">
        <v>2822</v>
      </c>
      <c r="J856" s="10" t="s">
        <v>1100</v>
      </c>
      <c r="K856" s="11" t="s">
        <v>2826</v>
      </c>
      <c r="L856" s="18">
        <f t="shared" si="26"/>
        <v>0.41</v>
      </c>
      <c r="M856" s="15" t="str">
        <f t="shared" si="27"/>
        <v>7</v>
      </c>
    </row>
    <row r="857" spans="8:13" ht="45" customHeight="1" x14ac:dyDescent="0.3">
      <c r="H857" s="10" t="s">
        <v>2821</v>
      </c>
      <c r="I857" s="11" t="s">
        <v>2822</v>
      </c>
      <c r="J857" s="10" t="s">
        <v>1032</v>
      </c>
      <c r="K857" s="11" t="s">
        <v>2827</v>
      </c>
      <c r="L857" s="18">
        <f t="shared" si="26"/>
        <v>0.38</v>
      </c>
      <c r="M857" s="15" t="str">
        <f t="shared" si="27"/>
        <v>7</v>
      </c>
    </row>
    <row r="858" spans="8:13" ht="30" customHeight="1" x14ac:dyDescent="0.3">
      <c r="H858" s="10" t="s">
        <v>2821</v>
      </c>
      <c r="I858" s="11" t="s">
        <v>2822</v>
      </c>
      <c r="J858" s="10" t="s">
        <v>1301</v>
      </c>
      <c r="K858" s="11" t="s">
        <v>2828</v>
      </c>
      <c r="L858" s="18">
        <f t="shared" si="26"/>
        <v>0.61</v>
      </c>
      <c r="M858" s="15" t="str">
        <f t="shared" si="27"/>
        <v>7</v>
      </c>
    </row>
    <row r="859" spans="8:13" ht="45" customHeight="1" x14ac:dyDescent="0.3">
      <c r="H859" s="10" t="s">
        <v>2821</v>
      </c>
      <c r="I859" s="11" t="s">
        <v>2822</v>
      </c>
      <c r="J859" s="10" t="s">
        <v>1739</v>
      </c>
      <c r="K859" s="11" t="s">
        <v>2829</v>
      </c>
      <c r="L859" s="18">
        <f t="shared" si="26"/>
        <v>0.82</v>
      </c>
      <c r="M859" s="15" t="str">
        <f t="shared" si="27"/>
        <v>7</v>
      </c>
    </row>
    <row r="860" spans="8:13" ht="30" customHeight="1" x14ac:dyDescent="0.3">
      <c r="H860" s="10" t="s">
        <v>2821</v>
      </c>
      <c r="I860" s="11" t="s">
        <v>2822</v>
      </c>
      <c r="J860" s="10" t="s">
        <v>2227</v>
      </c>
      <c r="K860" s="11" t="s">
        <v>2759</v>
      </c>
      <c r="L860" s="18">
        <f t="shared" si="26"/>
        <v>0.93</v>
      </c>
      <c r="M860" s="15" t="str">
        <f t="shared" si="27"/>
        <v>7</v>
      </c>
    </row>
    <row r="861" spans="8:13" ht="45" customHeight="1" x14ac:dyDescent="0.3">
      <c r="H861" s="10" t="s">
        <v>2821</v>
      </c>
      <c r="I861" s="11" t="s">
        <v>2822</v>
      </c>
      <c r="J861" s="10" t="s">
        <v>2105</v>
      </c>
      <c r="K861" s="11" t="s">
        <v>2830</v>
      </c>
      <c r="L861" s="18">
        <f t="shared" si="26"/>
        <v>0.91</v>
      </c>
      <c r="M861" s="15" t="str">
        <f t="shared" si="27"/>
        <v>7</v>
      </c>
    </row>
    <row r="862" spans="8:13" ht="30" customHeight="1" x14ac:dyDescent="0.3">
      <c r="H862" s="10" t="s">
        <v>2821</v>
      </c>
      <c r="I862" s="11" t="s">
        <v>2822</v>
      </c>
      <c r="J862" s="10" t="s">
        <v>1342</v>
      </c>
      <c r="K862" s="11" t="s">
        <v>2831</v>
      </c>
      <c r="L862" s="18">
        <f t="shared" si="26"/>
        <v>0.63</v>
      </c>
      <c r="M862" s="15" t="str">
        <f t="shared" si="27"/>
        <v>7</v>
      </c>
    </row>
    <row r="863" spans="8:13" ht="30" customHeight="1" x14ac:dyDescent="0.3">
      <c r="H863" s="10" t="s">
        <v>2821</v>
      </c>
      <c r="I863" s="11" t="s">
        <v>2822</v>
      </c>
      <c r="J863" s="10" t="s">
        <v>1538</v>
      </c>
      <c r="K863" s="11" t="s">
        <v>2832</v>
      </c>
      <c r="L863" s="18">
        <f t="shared" si="26"/>
        <v>0.72</v>
      </c>
      <c r="M863" s="15" t="str">
        <f t="shared" si="27"/>
        <v>7</v>
      </c>
    </row>
    <row r="864" spans="8:13" ht="45" customHeight="1" x14ac:dyDescent="0.3">
      <c r="H864" s="10" t="s">
        <v>2821</v>
      </c>
      <c r="I864" s="11" t="s">
        <v>2822</v>
      </c>
      <c r="J864" s="10" t="s">
        <v>2088</v>
      </c>
      <c r="K864" s="11" t="s">
        <v>2833</v>
      </c>
      <c r="L864" s="18">
        <f t="shared" si="26"/>
        <v>0.9</v>
      </c>
      <c r="M864" s="15" t="str">
        <f t="shared" si="27"/>
        <v>7</v>
      </c>
    </row>
    <row r="865" spans="8:13" ht="30" customHeight="1" x14ac:dyDescent="0.3">
      <c r="H865" s="10" t="s">
        <v>2834</v>
      </c>
      <c r="I865" s="11" t="s">
        <v>2835</v>
      </c>
      <c r="J865" s="10" t="s">
        <v>11</v>
      </c>
      <c r="K865" s="11" t="s">
        <v>2693</v>
      </c>
      <c r="L865" s="18">
        <f t="shared" si="26"/>
        <v>3.0000000000000001E-3</v>
      </c>
      <c r="M865" s="15" t="str">
        <f t="shared" si="27"/>
        <v>7</v>
      </c>
    </row>
    <row r="866" spans="8:13" ht="45" customHeight="1" x14ac:dyDescent="0.3">
      <c r="H866" s="10" t="s">
        <v>2834</v>
      </c>
      <c r="I866" s="11" t="s">
        <v>2835</v>
      </c>
      <c r="J866" s="10" t="s">
        <v>669</v>
      </c>
      <c r="K866" s="11" t="s">
        <v>2836</v>
      </c>
      <c r="L866" s="18">
        <f t="shared" si="26"/>
        <v>9.7000000000000003E-2</v>
      </c>
      <c r="M866" s="15" t="str">
        <f t="shared" si="27"/>
        <v>7</v>
      </c>
    </row>
    <row r="867" spans="8:13" ht="45" customHeight="1" x14ac:dyDescent="0.3">
      <c r="H867" s="10" t="s">
        <v>2837</v>
      </c>
      <c r="I867" s="11" t="s">
        <v>2838</v>
      </c>
      <c r="J867" s="10" t="s">
        <v>11</v>
      </c>
      <c r="K867" s="11" t="s">
        <v>2693</v>
      </c>
      <c r="L867" s="18">
        <f t="shared" si="26"/>
        <v>3.0000000000000001E-3</v>
      </c>
      <c r="M867" s="15" t="str">
        <f t="shared" si="27"/>
        <v>7</v>
      </c>
    </row>
    <row r="868" spans="8:13" ht="30" customHeight="1" x14ac:dyDescent="0.3">
      <c r="H868" s="10" t="s">
        <v>2837</v>
      </c>
      <c r="I868" s="11" t="s">
        <v>2838</v>
      </c>
      <c r="J868" s="10" t="s">
        <v>1575</v>
      </c>
      <c r="K868" s="11" t="s">
        <v>2839</v>
      </c>
      <c r="L868" s="18">
        <f t="shared" si="26"/>
        <v>0.74</v>
      </c>
      <c r="M868" s="15" t="str">
        <f t="shared" si="27"/>
        <v>7</v>
      </c>
    </row>
    <row r="869" spans="8:13" ht="45" customHeight="1" x14ac:dyDescent="0.3">
      <c r="H869" s="10" t="s">
        <v>2837</v>
      </c>
      <c r="I869" s="11" t="s">
        <v>2838</v>
      </c>
      <c r="J869" s="10" t="s">
        <v>1493</v>
      </c>
      <c r="K869" s="11" t="s">
        <v>2840</v>
      </c>
      <c r="L869" s="18">
        <f t="shared" si="26"/>
        <v>0.7</v>
      </c>
      <c r="M869" s="15" t="str">
        <f t="shared" si="27"/>
        <v>7</v>
      </c>
    </row>
    <row r="870" spans="8:13" ht="45" customHeight="1" x14ac:dyDescent="0.3">
      <c r="H870" s="10" t="s">
        <v>2837</v>
      </c>
      <c r="I870" s="11" t="s">
        <v>2838</v>
      </c>
      <c r="J870" s="10" t="s">
        <v>2130</v>
      </c>
      <c r="K870" s="11" t="s">
        <v>2825</v>
      </c>
      <c r="L870" s="18">
        <f t="shared" si="26"/>
        <v>0.91</v>
      </c>
      <c r="M870" s="15" t="str">
        <f t="shared" si="27"/>
        <v>7</v>
      </c>
    </row>
    <row r="871" spans="8:13" ht="45" customHeight="1" x14ac:dyDescent="0.3">
      <c r="H871" s="10" t="s">
        <v>2837</v>
      </c>
      <c r="I871" s="11" t="s">
        <v>2838</v>
      </c>
      <c r="J871" s="10" t="s">
        <v>1100</v>
      </c>
      <c r="K871" s="11" t="s">
        <v>2826</v>
      </c>
      <c r="L871" s="18">
        <f t="shared" si="26"/>
        <v>0.41</v>
      </c>
      <c r="M871" s="15" t="str">
        <f t="shared" si="27"/>
        <v>7</v>
      </c>
    </row>
    <row r="872" spans="8:13" ht="45" customHeight="1" x14ac:dyDescent="0.3">
      <c r="H872" s="10" t="s">
        <v>2837</v>
      </c>
      <c r="I872" s="11" t="s">
        <v>2838</v>
      </c>
      <c r="J872" s="10" t="s">
        <v>1032</v>
      </c>
      <c r="K872" s="11" t="s">
        <v>2827</v>
      </c>
      <c r="L872" s="18">
        <f t="shared" si="26"/>
        <v>0.38</v>
      </c>
      <c r="M872" s="15" t="str">
        <f t="shared" si="27"/>
        <v>7</v>
      </c>
    </row>
    <row r="873" spans="8:13" ht="45" customHeight="1" x14ac:dyDescent="0.3">
      <c r="H873" s="10" t="s">
        <v>2837</v>
      </c>
      <c r="I873" s="11" t="s">
        <v>2838</v>
      </c>
      <c r="J873" s="10" t="s">
        <v>1301</v>
      </c>
      <c r="K873" s="11" t="s">
        <v>2828</v>
      </c>
      <c r="L873" s="18">
        <f t="shared" si="26"/>
        <v>0.61</v>
      </c>
      <c r="M873" s="15" t="str">
        <f t="shared" si="27"/>
        <v>7</v>
      </c>
    </row>
    <row r="874" spans="8:13" ht="45" customHeight="1" x14ac:dyDescent="0.3">
      <c r="H874" s="10" t="s">
        <v>2841</v>
      </c>
      <c r="I874" s="11" t="s">
        <v>2842</v>
      </c>
      <c r="J874" s="10" t="s">
        <v>11</v>
      </c>
      <c r="K874" s="11" t="s">
        <v>2693</v>
      </c>
      <c r="L874" s="18">
        <f t="shared" si="26"/>
        <v>3.0000000000000001E-3</v>
      </c>
      <c r="M874" s="15" t="str">
        <f t="shared" si="27"/>
        <v>7</v>
      </c>
    </row>
    <row r="875" spans="8:13" ht="45" customHeight="1" x14ac:dyDescent="0.3">
      <c r="H875" s="10" t="s">
        <v>2841</v>
      </c>
      <c r="I875" s="11" t="s">
        <v>2842</v>
      </c>
      <c r="J875" s="10" t="s">
        <v>1575</v>
      </c>
      <c r="K875" s="11" t="s">
        <v>2839</v>
      </c>
      <c r="L875" s="18">
        <f t="shared" si="26"/>
        <v>0.74</v>
      </c>
      <c r="M875" s="15" t="str">
        <f t="shared" si="27"/>
        <v>7</v>
      </c>
    </row>
    <row r="876" spans="8:13" ht="60" customHeight="1" x14ac:dyDescent="0.3">
      <c r="H876" s="10" t="s">
        <v>2841</v>
      </c>
      <c r="I876" s="11" t="s">
        <v>2842</v>
      </c>
      <c r="J876" s="10" t="s">
        <v>2241</v>
      </c>
      <c r="K876" s="11" t="s">
        <v>2843</v>
      </c>
      <c r="L876" s="18">
        <f t="shared" si="26"/>
        <v>0.93</v>
      </c>
      <c r="M876" s="15" t="str">
        <f t="shared" si="27"/>
        <v>7</v>
      </c>
    </row>
    <row r="877" spans="8:13" ht="45" customHeight="1" x14ac:dyDescent="0.3">
      <c r="H877" s="10" t="s">
        <v>2841</v>
      </c>
      <c r="I877" s="11" t="s">
        <v>2842</v>
      </c>
      <c r="J877" s="10" t="s">
        <v>998</v>
      </c>
      <c r="K877" s="11" t="s">
        <v>2844</v>
      </c>
      <c r="L877" s="18">
        <f t="shared" si="26"/>
        <v>0.36</v>
      </c>
      <c r="M877" s="15" t="str">
        <f t="shared" si="27"/>
        <v>7</v>
      </c>
    </row>
    <row r="878" spans="8:13" ht="45" customHeight="1" x14ac:dyDescent="0.3">
      <c r="H878" s="10" t="s">
        <v>2841</v>
      </c>
      <c r="I878" s="11" t="s">
        <v>2842</v>
      </c>
      <c r="J878" s="10" t="s">
        <v>2130</v>
      </c>
      <c r="K878" s="11" t="s">
        <v>2825</v>
      </c>
      <c r="L878" s="18">
        <f t="shared" si="26"/>
        <v>0.91</v>
      </c>
      <c r="M878" s="15" t="str">
        <f t="shared" si="27"/>
        <v>7</v>
      </c>
    </row>
    <row r="879" spans="8:13" ht="45" customHeight="1" x14ac:dyDescent="0.3">
      <c r="H879" s="10" t="s">
        <v>2841</v>
      </c>
      <c r="I879" s="11" t="s">
        <v>2842</v>
      </c>
      <c r="J879" s="10" t="s">
        <v>1162</v>
      </c>
      <c r="K879" s="11" t="s">
        <v>2845</v>
      </c>
      <c r="L879" s="18">
        <f t="shared" si="26"/>
        <v>0.49</v>
      </c>
      <c r="M879" s="15" t="str">
        <f t="shared" si="27"/>
        <v>7</v>
      </c>
    </row>
    <row r="880" spans="8:13" ht="30" customHeight="1" x14ac:dyDescent="0.3">
      <c r="H880" s="10" t="s">
        <v>2846</v>
      </c>
      <c r="I880" s="11" t="s">
        <v>2842</v>
      </c>
      <c r="J880" s="10" t="s">
        <v>1389</v>
      </c>
      <c r="K880" s="11" t="s">
        <v>2847</v>
      </c>
      <c r="L880" s="18">
        <f t="shared" si="26"/>
        <v>0.65</v>
      </c>
      <c r="M880" s="15" t="str">
        <f t="shared" si="27"/>
        <v>7</v>
      </c>
    </row>
    <row r="881" spans="8:13" ht="30" customHeight="1" x14ac:dyDescent="0.3">
      <c r="H881" s="10" t="s">
        <v>2848</v>
      </c>
      <c r="I881" s="11" t="s">
        <v>2849</v>
      </c>
      <c r="J881" s="10" t="s">
        <v>2245</v>
      </c>
      <c r="K881" s="11" t="s">
        <v>2850</v>
      </c>
      <c r="L881" s="18">
        <f t="shared" si="26"/>
        <v>0.93</v>
      </c>
      <c r="M881" s="15" t="str">
        <f t="shared" si="27"/>
        <v>7</v>
      </c>
    </row>
    <row r="882" spans="8:13" ht="30" customHeight="1" x14ac:dyDescent="0.3">
      <c r="H882" s="10" t="s">
        <v>2848</v>
      </c>
      <c r="I882" s="11" t="s">
        <v>2849</v>
      </c>
      <c r="J882" s="10" t="s">
        <v>2282</v>
      </c>
      <c r="K882" s="11" t="s">
        <v>2851</v>
      </c>
      <c r="L882" s="18">
        <f t="shared" si="26"/>
        <v>0.94</v>
      </c>
      <c r="M882" s="15" t="str">
        <f t="shared" si="27"/>
        <v>7</v>
      </c>
    </row>
    <row r="883" spans="8:13" ht="60" customHeight="1" x14ac:dyDescent="0.3">
      <c r="H883" s="10" t="s">
        <v>2848</v>
      </c>
      <c r="I883" s="11" t="s">
        <v>2849</v>
      </c>
      <c r="J883" s="10" t="s">
        <v>1297</v>
      </c>
      <c r="K883" s="11" t="s">
        <v>2852</v>
      </c>
      <c r="L883" s="18">
        <f t="shared" si="26"/>
        <v>0.6</v>
      </c>
      <c r="M883" s="15" t="str">
        <f t="shared" si="27"/>
        <v>7</v>
      </c>
    </row>
    <row r="884" spans="8:13" ht="30" customHeight="1" x14ac:dyDescent="0.3">
      <c r="H884" s="10" t="s">
        <v>2848</v>
      </c>
      <c r="I884" s="11" t="s">
        <v>2849</v>
      </c>
      <c r="J884" s="10" t="s">
        <v>2107</v>
      </c>
      <c r="K884" s="11" t="s">
        <v>2853</v>
      </c>
      <c r="L884" s="18">
        <f t="shared" si="26"/>
        <v>0.91</v>
      </c>
      <c r="M884" s="15" t="str">
        <f t="shared" si="27"/>
        <v>7</v>
      </c>
    </row>
    <row r="885" spans="8:13" ht="15" customHeight="1" x14ac:dyDescent="0.3">
      <c r="H885" s="10" t="s">
        <v>2854</v>
      </c>
      <c r="I885" s="11" t="s">
        <v>2855</v>
      </c>
      <c r="J885" s="10" t="s">
        <v>2007</v>
      </c>
      <c r="K885" s="11" t="s">
        <v>2008</v>
      </c>
      <c r="L885" s="18">
        <f t="shared" si="26"/>
        <v>0.89</v>
      </c>
      <c r="M885" s="15" t="str">
        <f t="shared" si="27"/>
        <v>7</v>
      </c>
    </row>
    <row r="886" spans="8:13" ht="60" customHeight="1" x14ac:dyDescent="0.3">
      <c r="H886" s="10" t="s">
        <v>2856</v>
      </c>
      <c r="I886" s="11" t="s">
        <v>2857</v>
      </c>
      <c r="J886" s="10" t="s">
        <v>1490</v>
      </c>
      <c r="K886" s="11" t="s">
        <v>2858</v>
      </c>
      <c r="L886" s="18">
        <f t="shared" si="26"/>
        <v>0.7</v>
      </c>
      <c r="M886" s="15" t="str">
        <f t="shared" si="27"/>
        <v>7</v>
      </c>
    </row>
    <row r="887" spans="8:13" ht="30" customHeight="1" x14ac:dyDescent="0.3">
      <c r="H887" s="10" t="s">
        <v>2856</v>
      </c>
      <c r="I887" s="11" t="s">
        <v>2857</v>
      </c>
      <c r="J887" s="10" t="s">
        <v>1984</v>
      </c>
      <c r="K887" s="11" t="s">
        <v>2859</v>
      </c>
      <c r="L887" s="18">
        <f t="shared" si="26"/>
        <v>0.88</v>
      </c>
      <c r="M887" s="15" t="str">
        <f t="shared" si="27"/>
        <v>7</v>
      </c>
    </row>
    <row r="888" spans="8:13" ht="30" customHeight="1" x14ac:dyDescent="0.3">
      <c r="H888" s="10" t="s">
        <v>2860</v>
      </c>
      <c r="I888" s="11" t="s">
        <v>2861</v>
      </c>
      <c r="J888" s="10" t="s">
        <v>1324</v>
      </c>
      <c r="K888" s="11" t="s">
        <v>2862</v>
      </c>
      <c r="L888" s="18">
        <f t="shared" si="26"/>
        <v>0.61</v>
      </c>
      <c r="M888" s="15" t="str">
        <f t="shared" si="27"/>
        <v>7</v>
      </c>
    </row>
    <row r="889" spans="8:13" ht="30" customHeight="1" x14ac:dyDescent="0.3">
      <c r="H889" s="10" t="s">
        <v>2860</v>
      </c>
      <c r="I889" s="11" t="s">
        <v>2861</v>
      </c>
      <c r="J889" s="10" t="s">
        <v>2863</v>
      </c>
      <c r="K889" s="11" t="s">
        <v>2864</v>
      </c>
      <c r="L889" s="18" t="str">
        <f t="shared" si="26"/>
        <v/>
      </c>
      <c r="M889" s="15" t="str">
        <f t="shared" si="27"/>
        <v>7</v>
      </c>
    </row>
    <row r="890" spans="8:13" ht="30" customHeight="1" x14ac:dyDescent="0.3">
      <c r="H890" s="10" t="s">
        <v>2865</v>
      </c>
      <c r="I890" s="11" t="s">
        <v>2866</v>
      </c>
      <c r="J890" s="10" t="s">
        <v>1604</v>
      </c>
      <c r="K890" s="11" t="s">
        <v>1605</v>
      </c>
      <c r="L890" s="18">
        <f t="shared" si="26"/>
        <v>0.94</v>
      </c>
      <c r="M890" s="15" t="str">
        <f t="shared" si="27"/>
        <v>7</v>
      </c>
    </row>
    <row r="891" spans="8:13" ht="30" customHeight="1" x14ac:dyDescent="0.3">
      <c r="H891" s="10" t="s">
        <v>2865</v>
      </c>
      <c r="I891" s="11" t="s">
        <v>2866</v>
      </c>
      <c r="J891" s="10" t="s">
        <v>1088</v>
      </c>
      <c r="K891" s="11" t="s">
        <v>2867</v>
      </c>
      <c r="L891" s="18">
        <f t="shared" si="26"/>
        <v>0.41</v>
      </c>
      <c r="M891" s="15" t="str">
        <f t="shared" si="27"/>
        <v>7</v>
      </c>
    </row>
    <row r="892" spans="8:13" ht="60" customHeight="1" x14ac:dyDescent="0.3">
      <c r="H892" s="10" t="s">
        <v>2868</v>
      </c>
      <c r="I892" s="11" t="s">
        <v>2869</v>
      </c>
      <c r="J892" s="10" t="s">
        <v>1088</v>
      </c>
      <c r="K892" s="11" t="s">
        <v>2867</v>
      </c>
      <c r="L892" s="18">
        <f t="shared" si="26"/>
        <v>0.41</v>
      </c>
      <c r="M892" s="15" t="str">
        <f t="shared" si="27"/>
        <v>7</v>
      </c>
    </row>
    <row r="893" spans="8:13" ht="45" customHeight="1" x14ac:dyDescent="0.3">
      <c r="H893" s="10" t="s">
        <v>2868</v>
      </c>
      <c r="I893" s="11" t="s">
        <v>2869</v>
      </c>
      <c r="J893" s="10" t="s">
        <v>2250</v>
      </c>
      <c r="K893" s="11" t="s">
        <v>2870</v>
      </c>
      <c r="L893" s="18">
        <f t="shared" si="26"/>
        <v>0.93</v>
      </c>
      <c r="M893" s="15" t="str">
        <f t="shared" si="27"/>
        <v>7</v>
      </c>
    </row>
    <row r="894" spans="8:13" ht="45" customHeight="1" x14ac:dyDescent="0.3">
      <c r="H894" s="10" t="s">
        <v>2868</v>
      </c>
      <c r="I894" s="11" t="s">
        <v>2869</v>
      </c>
      <c r="J894" s="10" t="s">
        <v>2079</v>
      </c>
      <c r="K894" s="11" t="s">
        <v>2792</v>
      </c>
      <c r="L894" s="18">
        <f t="shared" si="26"/>
        <v>0.9</v>
      </c>
      <c r="M894" s="15" t="str">
        <f t="shared" si="27"/>
        <v>7</v>
      </c>
    </row>
    <row r="895" spans="8:13" ht="45" customHeight="1" x14ac:dyDescent="0.3">
      <c r="H895" s="10" t="s">
        <v>2871</v>
      </c>
      <c r="I895" s="11" t="s">
        <v>2872</v>
      </c>
      <c r="J895" s="10" t="s">
        <v>1003</v>
      </c>
      <c r="K895" s="11" t="s">
        <v>2873</v>
      </c>
      <c r="L895" s="18">
        <f t="shared" si="26"/>
        <v>0.37</v>
      </c>
      <c r="M895" s="15" t="str">
        <f t="shared" si="27"/>
        <v>7</v>
      </c>
    </row>
    <row r="896" spans="8:13" ht="30" customHeight="1" x14ac:dyDescent="0.3">
      <c r="H896" s="10" t="s">
        <v>2871</v>
      </c>
      <c r="I896" s="11" t="s">
        <v>2872</v>
      </c>
      <c r="J896" s="10" t="s">
        <v>2368</v>
      </c>
      <c r="K896" s="11" t="s">
        <v>2874</v>
      </c>
      <c r="L896" s="18">
        <f t="shared" si="26"/>
        <v>0.95</v>
      </c>
      <c r="M896" s="15" t="str">
        <f t="shared" si="27"/>
        <v>7</v>
      </c>
    </row>
    <row r="897" spans="8:13" ht="30" customHeight="1" x14ac:dyDescent="0.3">
      <c r="H897" s="10" t="s">
        <v>2875</v>
      </c>
      <c r="I897" s="11" t="s">
        <v>2876</v>
      </c>
      <c r="J897" s="10" t="s">
        <v>2176</v>
      </c>
      <c r="K897" s="11" t="s">
        <v>2877</v>
      </c>
      <c r="L897" s="18">
        <f t="shared" si="26"/>
        <v>0.92</v>
      </c>
      <c r="M897" s="15" t="str">
        <f t="shared" si="27"/>
        <v>7</v>
      </c>
    </row>
    <row r="898" spans="8:13" ht="30" customHeight="1" x14ac:dyDescent="0.3">
      <c r="H898" s="10" t="s">
        <v>2875</v>
      </c>
      <c r="I898" s="11" t="s">
        <v>2876</v>
      </c>
      <c r="J898" s="10" t="s">
        <v>1949</v>
      </c>
      <c r="K898" s="11" t="s">
        <v>1950</v>
      </c>
      <c r="L898" s="18">
        <f t="shared" si="26"/>
        <v>0.87</v>
      </c>
      <c r="M898" s="15" t="str">
        <f t="shared" si="27"/>
        <v>7</v>
      </c>
    </row>
    <row r="899" spans="8:13" ht="30" customHeight="1" x14ac:dyDescent="0.3">
      <c r="H899" s="10" t="s">
        <v>2875</v>
      </c>
      <c r="I899" s="11" t="s">
        <v>2876</v>
      </c>
      <c r="J899" s="10" t="s">
        <v>2410</v>
      </c>
      <c r="K899" s="11" t="s">
        <v>2878</v>
      </c>
      <c r="L899" s="18">
        <f t="shared" ref="L899:L962" si="28">IFERROR(INDEX($D$3:$D$704,MATCH(TRIM(J899),$B$3:$B$704,0)),"")</f>
        <v>0.96</v>
      </c>
      <c r="M899" s="15" t="str">
        <f t="shared" ref="M899:M962" si="29">LEFT(TEXT(H899,"0000")*0.1)</f>
        <v>7</v>
      </c>
    </row>
    <row r="900" spans="8:13" ht="45" customHeight="1" x14ac:dyDescent="0.3">
      <c r="H900" s="10" t="s">
        <v>2875</v>
      </c>
      <c r="I900" s="11" t="s">
        <v>2876</v>
      </c>
      <c r="J900" s="10" t="s">
        <v>2150</v>
      </c>
      <c r="K900" s="11" t="s">
        <v>2879</v>
      </c>
      <c r="L900" s="18">
        <f t="shared" si="28"/>
        <v>0.91</v>
      </c>
      <c r="M900" s="15" t="str">
        <f t="shared" si="29"/>
        <v>7</v>
      </c>
    </row>
    <row r="901" spans="8:13" ht="30" customHeight="1" x14ac:dyDescent="0.3">
      <c r="H901" s="10" t="s">
        <v>2880</v>
      </c>
      <c r="I901" s="11" t="s">
        <v>2881</v>
      </c>
      <c r="J901" s="10" t="s">
        <v>2438</v>
      </c>
      <c r="K901" s="11" t="s">
        <v>2882</v>
      </c>
      <c r="L901" s="18">
        <f t="shared" si="28"/>
        <v>0.97</v>
      </c>
      <c r="M901" s="15" t="str">
        <f t="shared" si="29"/>
        <v>7</v>
      </c>
    </row>
    <row r="902" spans="8:13" ht="45" customHeight="1" x14ac:dyDescent="0.3">
      <c r="H902" s="10" t="s">
        <v>2883</v>
      </c>
      <c r="I902" s="11" t="s">
        <v>2884</v>
      </c>
      <c r="J902" s="10" t="s">
        <v>1852</v>
      </c>
      <c r="K902" s="11" t="s">
        <v>2885</v>
      </c>
      <c r="L902" s="18">
        <f t="shared" si="28"/>
        <v>0.84</v>
      </c>
      <c r="M902" s="15" t="str">
        <f t="shared" si="29"/>
        <v>7</v>
      </c>
    </row>
    <row r="903" spans="8:13" ht="30" customHeight="1" x14ac:dyDescent="0.3">
      <c r="H903" s="10" t="s">
        <v>2886</v>
      </c>
      <c r="I903" s="11" t="s">
        <v>2887</v>
      </c>
      <c r="J903" s="10" t="s">
        <v>2339</v>
      </c>
      <c r="K903" s="11" t="s">
        <v>2888</v>
      </c>
      <c r="L903" s="18">
        <f t="shared" si="28"/>
        <v>0.95</v>
      </c>
      <c r="M903" s="15" t="str">
        <f t="shared" si="29"/>
        <v>7</v>
      </c>
    </row>
    <row r="904" spans="8:13" ht="30" customHeight="1" x14ac:dyDescent="0.3">
      <c r="H904" s="10" t="s">
        <v>2886</v>
      </c>
      <c r="I904" s="11" t="s">
        <v>2887</v>
      </c>
      <c r="J904" s="10" t="s">
        <v>113</v>
      </c>
      <c r="K904" s="11" t="s">
        <v>2889</v>
      </c>
      <c r="L904" s="18">
        <f t="shared" si="28"/>
        <v>4.8999999999999998E-3</v>
      </c>
      <c r="M904" s="15" t="str">
        <f t="shared" si="29"/>
        <v>7</v>
      </c>
    </row>
    <row r="905" spans="8:13" ht="30" customHeight="1" x14ac:dyDescent="0.3">
      <c r="H905" s="10" t="s">
        <v>2886</v>
      </c>
      <c r="I905" s="11" t="s">
        <v>2887</v>
      </c>
      <c r="J905" s="10" t="s">
        <v>1352</v>
      </c>
      <c r="K905" s="11" t="s">
        <v>2795</v>
      </c>
      <c r="L905" s="18">
        <f t="shared" si="28"/>
        <v>0.64</v>
      </c>
      <c r="M905" s="15" t="str">
        <f t="shared" si="29"/>
        <v>7</v>
      </c>
    </row>
    <row r="906" spans="8:13" ht="30" customHeight="1" x14ac:dyDescent="0.3">
      <c r="H906" s="10" t="s">
        <v>2890</v>
      </c>
      <c r="I906" s="11" t="s">
        <v>2891</v>
      </c>
      <c r="J906" s="10" t="s">
        <v>2420</v>
      </c>
      <c r="K906" s="11" t="s">
        <v>2892</v>
      </c>
      <c r="L906" s="18">
        <f t="shared" si="28"/>
        <v>0.96</v>
      </c>
      <c r="M906" s="15" t="str">
        <f t="shared" si="29"/>
        <v>7</v>
      </c>
    </row>
    <row r="907" spans="8:13" ht="30" customHeight="1" x14ac:dyDescent="0.3">
      <c r="H907" s="10" t="s">
        <v>2890</v>
      </c>
      <c r="I907" s="11" t="s">
        <v>2891</v>
      </c>
      <c r="J907" s="10" t="s">
        <v>1186</v>
      </c>
      <c r="K907" s="11" t="s">
        <v>2806</v>
      </c>
      <c r="L907" s="18">
        <f t="shared" si="28"/>
        <v>0.52</v>
      </c>
      <c r="M907" s="15" t="str">
        <f t="shared" si="29"/>
        <v>7</v>
      </c>
    </row>
    <row r="908" spans="8:13" ht="30" customHeight="1" x14ac:dyDescent="0.3">
      <c r="H908" s="10" t="s">
        <v>2890</v>
      </c>
      <c r="I908" s="11" t="s">
        <v>2891</v>
      </c>
      <c r="J908" s="10" t="s">
        <v>2604</v>
      </c>
      <c r="K908" s="11" t="s">
        <v>2893</v>
      </c>
      <c r="L908" s="18">
        <f t="shared" si="28"/>
        <v>0.99</v>
      </c>
      <c r="M908" s="15" t="str">
        <f t="shared" si="29"/>
        <v>7</v>
      </c>
    </row>
    <row r="909" spans="8:13" ht="30" customHeight="1" x14ac:dyDescent="0.3">
      <c r="H909" s="10" t="s">
        <v>2894</v>
      </c>
      <c r="I909" s="11" t="s">
        <v>2895</v>
      </c>
      <c r="J909" s="10" t="s">
        <v>1057</v>
      </c>
      <c r="K909" s="11" t="s">
        <v>1058</v>
      </c>
      <c r="L909" s="18">
        <f t="shared" si="28"/>
        <v>0.39</v>
      </c>
      <c r="M909" s="15" t="str">
        <f t="shared" si="29"/>
        <v>7</v>
      </c>
    </row>
    <row r="910" spans="8:13" ht="45" customHeight="1" x14ac:dyDescent="0.3">
      <c r="H910" s="10" t="s">
        <v>2896</v>
      </c>
      <c r="I910" s="11" t="s">
        <v>2897</v>
      </c>
      <c r="J910" s="10" t="s">
        <v>1088</v>
      </c>
      <c r="K910" s="11" t="s">
        <v>2867</v>
      </c>
      <c r="L910" s="18">
        <f t="shared" si="28"/>
        <v>0.41</v>
      </c>
      <c r="M910" s="15" t="str">
        <f t="shared" si="29"/>
        <v>7</v>
      </c>
    </row>
    <row r="911" spans="8:13" ht="30" customHeight="1" x14ac:dyDescent="0.3">
      <c r="H911" s="10" t="s">
        <v>2896</v>
      </c>
      <c r="I911" s="11" t="s">
        <v>2897</v>
      </c>
      <c r="J911" s="10" t="s">
        <v>2898</v>
      </c>
      <c r="K911" s="11" t="s">
        <v>2899</v>
      </c>
      <c r="L911" s="18" t="str">
        <f t="shared" si="28"/>
        <v/>
      </c>
      <c r="M911" s="15" t="str">
        <f t="shared" si="29"/>
        <v>7</v>
      </c>
    </row>
    <row r="912" spans="8:13" ht="15" customHeight="1" x14ac:dyDescent="0.3">
      <c r="H912" s="10" t="s">
        <v>2900</v>
      </c>
      <c r="I912" s="11" t="s">
        <v>2901</v>
      </c>
      <c r="J912" s="10" t="s">
        <v>1186</v>
      </c>
      <c r="K912" s="11" t="s">
        <v>2806</v>
      </c>
      <c r="L912" s="18">
        <f t="shared" si="28"/>
        <v>0.52</v>
      </c>
      <c r="M912" s="15" t="str">
        <f t="shared" si="29"/>
        <v>7</v>
      </c>
    </row>
    <row r="913" spans="8:13" ht="45" customHeight="1" x14ac:dyDescent="0.3">
      <c r="H913" s="10" t="s">
        <v>2902</v>
      </c>
      <c r="I913" s="11" t="s">
        <v>2903</v>
      </c>
      <c r="J913" s="10" t="s">
        <v>799</v>
      </c>
      <c r="K913" s="11" t="s">
        <v>2904</v>
      </c>
      <c r="L913" s="18">
        <f t="shared" si="28"/>
        <v>0.18</v>
      </c>
      <c r="M913" s="15" t="str">
        <f t="shared" si="29"/>
        <v>7</v>
      </c>
    </row>
    <row r="914" spans="8:13" ht="45" customHeight="1" x14ac:dyDescent="0.3">
      <c r="H914" s="10" t="s">
        <v>2905</v>
      </c>
      <c r="I914" s="11" t="s">
        <v>2906</v>
      </c>
      <c r="J914" s="10" t="s">
        <v>1146</v>
      </c>
      <c r="K914" s="11" t="s">
        <v>2907</v>
      </c>
      <c r="L914" s="18">
        <f t="shared" si="28"/>
        <v>0.48</v>
      </c>
      <c r="M914" s="15" t="str">
        <f t="shared" si="29"/>
        <v>7</v>
      </c>
    </row>
    <row r="915" spans="8:13" ht="60" customHeight="1" x14ac:dyDescent="0.3">
      <c r="H915" s="10" t="s">
        <v>2908</v>
      </c>
      <c r="I915" s="11" t="s">
        <v>2909</v>
      </c>
      <c r="J915" s="10" t="s">
        <v>2528</v>
      </c>
      <c r="K915" s="11" t="s">
        <v>2910</v>
      </c>
      <c r="L915" s="18">
        <f t="shared" si="28"/>
        <v>0.98</v>
      </c>
      <c r="M915" s="15" t="str">
        <f t="shared" si="29"/>
        <v>7</v>
      </c>
    </row>
    <row r="916" spans="8:13" ht="30" customHeight="1" x14ac:dyDescent="0.3">
      <c r="H916" s="10" t="s">
        <v>2911</v>
      </c>
      <c r="I916" s="11" t="s">
        <v>2912</v>
      </c>
      <c r="J916" s="11" t="s">
        <v>1263</v>
      </c>
      <c r="K916" s="11" t="s">
        <v>2603</v>
      </c>
      <c r="L916" s="18">
        <f t="shared" si="28"/>
        <v>0.56999999999999995</v>
      </c>
      <c r="M916" s="15" t="str">
        <f t="shared" si="29"/>
        <v>7</v>
      </c>
    </row>
    <row r="917" spans="8:13" ht="45" customHeight="1" x14ac:dyDescent="0.3">
      <c r="H917" s="10" t="s">
        <v>2911</v>
      </c>
      <c r="I917" s="11" t="s">
        <v>2912</v>
      </c>
      <c r="J917" s="10" t="s">
        <v>1405</v>
      </c>
      <c r="K917" s="11" t="s">
        <v>2913</v>
      </c>
      <c r="L917" s="18">
        <f t="shared" si="28"/>
        <v>0.66</v>
      </c>
      <c r="M917" s="15" t="str">
        <f t="shared" si="29"/>
        <v>7</v>
      </c>
    </row>
    <row r="918" spans="8:13" ht="30" customHeight="1" x14ac:dyDescent="0.3">
      <c r="H918" s="10" t="s">
        <v>2911</v>
      </c>
      <c r="I918" s="11" t="s">
        <v>2912</v>
      </c>
      <c r="J918" s="10" t="s">
        <v>2479</v>
      </c>
      <c r="K918" s="11" t="s">
        <v>2914</v>
      </c>
      <c r="L918" s="18">
        <f t="shared" si="28"/>
        <v>0.97</v>
      </c>
      <c r="M918" s="15" t="str">
        <f t="shared" si="29"/>
        <v>7</v>
      </c>
    </row>
    <row r="919" spans="8:13" ht="30" customHeight="1" x14ac:dyDescent="0.3">
      <c r="H919" s="10" t="s">
        <v>2915</v>
      </c>
      <c r="I919" s="11" t="s">
        <v>2916</v>
      </c>
      <c r="J919" s="10" t="s">
        <v>558</v>
      </c>
      <c r="K919" s="11" t="s">
        <v>2917</v>
      </c>
      <c r="L919" s="18">
        <f t="shared" si="28"/>
        <v>4.7E-2</v>
      </c>
      <c r="M919" s="15" t="str">
        <f t="shared" si="29"/>
        <v>7</v>
      </c>
    </row>
    <row r="920" spans="8:13" ht="30" customHeight="1" x14ac:dyDescent="0.3">
      <c r="H920" s="10" t="s">
        <v>2915</v>
      </c>
      <c r="I920" s="11" t="s">
        <v>2916</v>
      </c>
      <c r="J920" s="10" t="s">
        <v>2487</v>
      </c>
      <c r="K920" s="11" t="s">
        <v>2918</v>
      </c>
      <c r="L920" s="18">
        <f t="shared" si="28"/>
        <v>0.97</v>
      </c>
      <c r="M920" s="15" t="str">
        <f t="shared" si="29"/>
        <v>7</v>
      </c>
    </row>
    <row r="921" spans="8:13" ht="30" customHeight="1" x14ac:dyDescent="0.3">
      <c r="H921" s="10" t="s">
        <v>2919</v>
      </c>
      <c r="I921" s="11" t="s">
        <v>2920</v>
      </c>
      <c r="J921" s="10" t="s">
        <v>1883</v>
      </c>
      <c r="K921" s="11" t="s">
        <v>2921</v>
      </c>
      <c r="L921" s="18">
        <f t="shared" si="28"/>
        <v>0.85</v>
      </c>
      <c r="M921" s="15" t="str">
        <f t="shared" si="29"/>
        <v>8</v>
      </c>
    </row>
    <row r="922" spans="8:13" ht="45" customHeight="1" x14ac:dyDescent="0.3">
      <c r="H922" s="10" t="s">
        <v>2919</v>
      </c>
      <c r="I922" s="11" t="s">
        <v>2920</v>
      </c>
      <c r="J922" s="10" t="s">
        <v>1206</v>
      </c>
      <c r="K922" s="11" t="s">
        <v>2922</v>
      </c>
      <c r="L922" s="18">
        <f t="shared" si="28"/>
        <v>0.54</v>
      </c>
      <c r="M922" s="15" t="str">
        <f t="shared" si="29"/>
        <v>8</v>
      </c>
    </row>
    <row r="923" spans="8:13" ht="30" customHeight="1" x14ac:dyDescent="0.3">
      <c r="H923" s="10" t="s">
        <v>2919</v>
      </c>
      <c r="I923" s="11" t="s">
        <v>2920</v>
      </c>
      <c r="J923" s="10" t="s">
        <v>1278</v>
      </c>
      <c r="K923" s="11" t="s">
        <v>2923</v>
      </c>
      <c r="L923" s="18">
        <f t="shared" si="28"/>
        <v>0.59</v>
      </c>
      <c r="M923" s="15" t="str">
        <f t="shared" si="29"/>
        <v>8</v>
      </c>
    </row>
    <row r="924" spans="8:13" ht="15" customHeight="1" x14ac:dyDescent="0.3">
      <c r="H924" s="10" t="s">
        <v>2919</v>
      </c>
      <c r="I924" s="11" t="s">
        <v>2920</v>
      </c>
      <c r="J924" s="10" t="s">
        <v>2924</v>
      </c>
      <c r="K924" s="11" t="s">
        <v>2925</v>
      </c>
      <c r="L924" s="18" t="str">
        <f t="shared" si="28"/>
        <v/>
      </c>
      <c r="M924" s="15" t="str">
        <f t="shared" si="29"/>
        <v>8</v>
      </c>
    </row>
    <row r="925" spans="8:13" ht="15" customHeight="1" x14ac:dyDescent="0.3">
      <c r="H925" s="10" t="s">
        <v>2919</v>
      </c>
      <c r="I925" s="11" t="s">
        <v>2920</v>
      </c>
      <c r="J925" s="10" t="s">
        <v>2399</v>
      </c>
      <c r="K925" s="11" t="s">
        <v>2926</v>
      </c>
      <c r="L925" s="18">
        <f t="shared" si="28"/>
        <v>0.96</v>
      </c>
      <c r="M925" s="15" t="str">
        <f t="shared" si="29"/>
        <v>8</v>
      </c>
    </row>
    <row r="926" spans="8:13" ht="45" customHeight="1" x14ac:dyDescent="0.3">
      <c r="H926" s="10" t="s">
        <v>2919</v>
      </c>
      <c r="I926" s="11" t="s">
        <v>2920</v>
      </c>
      <c r="J926" s="10" t="s">
        <v>1159</v>
      </c>
      <c r="K926" s="11" t="s">
        <v>2927</v>
      </c>
      <c r="L926" s="18">
        <f t="shared" si="28"/>
        <v>0.49</v>
      </c>
      <c r="M926" s="15" t="str">
        <f t="shared" si="29"/>
        <v>8</v>
      </c>
    </row>
    <row r="927" spans="8:13" ht="45" customHeight="1" x14ac:dyDescent="0.3">
      <c r="H927" s="10" t="s">
        <v>2919</v>
      </c>
      <c r="I927" s="11" t="s">
        <v>2920</v>
      </c>
      <c r="J927" s="10" t="s">
        <v>2308</v>
      </c>
      <c r="K927" s="11" t="s">
        <v>2928</v>
      </c>
      <c r="L927" s="18">
        <f t="shared" si="28"/>
        <v>0.94</v>
      </c>
      <c r="M927" s="15" t="str">
        <f t="shared" si="29"/>
        <v>8</v>
      </c>
    </row>
    <row r="928" spans="8:13" ht="45" customHeight="1" x14ac:dyDescent="0.3">
      <c r="H928" s="10" t="s">
        <v>2919</v>
      </c>
      <c r="I928" s="11" t="s">
        <v>2920</v>
      </c>
      <c r="J928" s="10" t="s">
        <v>1170</v>
      </c>
      <c r="K928" s="11" t="s">
        <v>2929</v>
      </c>
      <c r="L928" s="18">
        <f t="shared" si="28"/>
        <v>0.5</v>
      </c>
      <c r="M928" s="15" t="str">
        <f t="shared" si="29"/>
        <v>8</v>
      </c>
    </row>
    <row r="929" spans="8:13" ht="45" customHeight="1" x14ac:dyDescent="0.3">
      <c r="H929" s="10" t="s">
        <v>2930</v>
      </c>
      <c r="I929" s="11" t="s">
        <v>2931</v>
      </c>
      <c r="J929" s="10" t="s">
        <v>2469</v>
      </c>
      <c r="K929" s="11" t="s">
        <v>2932</v>
      </c>
      <c r="L929" s="18">
        <f t="shared" si="28"/>
        <v>0.97</v>
      </c>
      <c r="M929" s="15" t="str">
        <f t="shared" si="29"/>
        <v>8</v>
      </c>
    </row>
    <row r="930" spans="8:13" ht="30" customHeight="1" x14ac:dyDescent="0.3">
      <c r="H930" s="10" t="s">
        <v>2930</v>
      </c>
      <c r="I930" s="11" t="s">
        <v>2931</v>
      </c>
      <c r="J930" s="10" t="s">
        <v>1721</v>
      </c>
      <c r="K930" s="11" t="s">
        <v>2933</v>
      </c>
      <c r="L930" s="18">
        <f t="shared" si="28"/>
        <v>0.81</v>
      </c>
      <c r="M930" s="15" t="str">
        <f t="shared" si="29"/>
        <v>8</v>
      </c>
    </row>
    <row r="931" spans="8:13" ht="30" customHeight="1" x14ac:dyDescent="0.3">
      <c r="H931" s="10" t="s">
        <v>2934</v>
      </c>
      <c r="I931" s="11" t="s">
        <v>2935</v>
      </c>
      <c r="J931" s="10" t="s">
        <v>1704</v>
      </c>
      <c r="K931" s="11" t="s">
        <v>2936</v>
      </c>
      <c r="L931" s="18">
        <f t="shared" si="28"/>
        <v>0.8</v>
      </c>
      <c r="M931" s="15" t="str">
        <f t="shared" si="29"/>
        <v>8</v>
      </c>
    </row>
    <row r="932" spans="8:13" ht="30" customHeight="1" x14ac:dyDescent="0.3">
      <c r="H932" s="10" t="s">
        <v>2934</v>
      </c>
      <c r="I932" s="11" t="s">
        <v>2935</v>
      </c>
      <c r="J932" s="10" t="s">
        <v>1194</v>
      </c>
      <c r="K932" s="11" t="s">
        <v>2937</v>
      </c>
      <c r="L932" s="18">
        <f t="shared" si="28"/>
        <v>0.53</v>
      </c>
      <c r="M932" s="15" t="str">
        <f t="shared" si="29"/>
        <v>8</v>
      </c>
    </row>
    <row r="933" spans="8:13" ht="30" customHeight="1" x14ac:dyDescent="0.3">
      <c r="H933" s="10" t="s">
        <v>2934</v>
      </c>
      <c r="I933" s="11" t="s">
        <v>2935</v>
      </c>
      <c r="J933" s="10" t="s">
        <v>2219</v>
      </c>
      <c r="K933" s="11" t="s">
        <v>2938</v>
      </c>
      <c r="L933" s="18">
        <f t="shared" si="28"/>
        <v>0.93</v>
      </c>
      <c r="M933" s="15" t="str">
        <f t="shared" si="29"/>
        <v>8</v>
      </c>
    </row>
    <row r="934" spans="8:13" ht="30" customHeight="1" x14ac:dyDescent="0.3">
      <c r="H934" s="10" t="s">
        <v>2934</v>
      </c>
      <c r="I934" s="11" t="s">
        <v>2935</v>
      </c>
      <c r="J934" s="10" t="s">
        <v>1883</v>
      </c>
      <c r="K934" s="11" t="s">
        <v>2921</v>
      </c>
      <c r="L934" s="18">
        <f t="shared" si="28"/>
        <v>0.85</v>
      </c>
      <c r="M934" s="15" t="str">
        <f t="shared" si="29"/>
        <v>8</v>
      </c>
    </row>
    <row r="935" spans="8:13" ht="30" customHeight="1" x14ac:dyDescent="0.3">
      <c r="H935" s="10" t="s">
        <v>2934</v>
      </c>
      <c r="I935" s="11" t="s">
        <v>2935</v>
      </c>
      <c r="J935" s="10" t="s">
        <v>1459</v>
      </c>
      <c r="K935" s="11" t="s">
        <v>2939</v>
      </c>
      <c r="L935" s="18">
        <f t="shared" si="28"/>
        <v>0.68</v>
      </c>
      <c r="M935" s="15" t="str">
        <f t="shared" si="29"/>
        <v>8</v>
      </c>
    </row>
    <row r="936" spans="8:13" ht="30" customHeight="1" x14ac:dyDescent="0.3">
      <c r="H936" s="10" t="s">
        <v>2934</v>
      </c>
      <c r="I936" s="11" t="s">
        <v>2935</v>
      </c>
      <c r="J936" s="10" t="s">
        <v>1855</v>
      </c>
      <c r="K936" s="11" t="s">
        <v>2940</v>
      </c>
      <c r="L936" s="18">
        <f t="shared" si="28"/>
        <v>0.84</v>
      </c>
      <c r="M936" s="15" t="str">
        <f t="shared" si="29"/>
        <v>8</v>
      </c>
    </row>
    <row r="937" spans="8:13" ht="45" customHeight="1" x14ac:dyDescent="0.3">
      <c r="H937" s="10" t="s">
        <v>2941</v>
      </c>
      <c r="I937" s="11" t="s">
        <v>2942</v>
      </c>
      <c r="J937" s="10" t="s">
        <v>1387</v>
      </c>
      <c r="K937" s="11" t="s">
        <v>1388</v>
      </c>
      <c r="L937" s="18">
        <f t="shared" si="28"/>
        <v>0.86</v>
      </c>
      <c r="M937" s="15" t="str">
        <f t="shared" si="29"/>
        <v>8</v>
      </c>
    </row>
    <row r="938" spans="8:13" ht="45" customHeight="1" x14ac:dyDescent="0.3">
      <c r="H938" s="10" t="s">
        <v>2941</v>
      </c>
      <c r="I938" s="11" t="s">
        <v>2942</v>
      </c>
      <c r="J938" s="10" t="s">
        <v>2469</v>
      </c>
      <c r="K938" s="11" t="s">
        <v>2932</v>
      </c>
      <c r="L938" s="18">
        <f t="shared" si="28"/>
        <v>0.97</v>
      </c>
      <c r="M938" s="15" t="str">
        <f t="shared" si="29"/>
        <v>8</v>
      </c>
    </row>
    <row r="939" spans="8:13" ht="45" customHeight="1" x14ac:dyDescent="0.3">
      <c r="H939" s="10" t="s">
        <v>2941</v>
      </c>
      <c r="I939" s="11" t="s">
        <v>2942</v>
      </c>
      <c r="J939" s="10" t="s">
        <v>1787</v>
      </c>
      <c r="K939" s="11" t="s">
        <v>2943</v>
      </c>
      <c r="L939" s="18">
        <f t="shared" si="28"/>
        <v>0.83</v>
      </c>
      <c r="M939" s="15" t="str">
        <f t="shared" si="29"/>
        <v>8</v>
      </c>
    </row>
    <row r="940" spans="8:13" ht="60" customHeight="1" x14ac:dyDescent="0.3">
      <c r="H940" s="10" t="s">
        <v>2941</v>
      </c>
      <c r="I940" s="11" t="s">
        <v>2942</v>
      </c>
      <c r="J940" s="10" t="s">
        <v>1912</v>
      </c>
      <c r="K940" s="11" t="s">
        <v>2944</v>
      </c>
      <c r="L940" s="18">
        <f t="shared" si="28"/>
        <v>0.86</v>
      </c>
      <c r="M940" s="15" t="str">
        <f t="shared" si="29"/>
        <v>8</v>
      </c>
    </row>
    <row r="941" spans="8:13" ht="45" customHeight="1" x14ac:dyDescent="0.3">
      <c r="H941" s="10" t="s">
        <v>2945</v>
      </c>
      <c r="I941" s="11" t="s">
        <v>2946</v>
      </c>
      <c r="J941" s="10" t="s">
        <v>2156</v>
      </c>
      <c r="K941" s="11" t="s">
        <v>2739</v>
      </c>
      <c r="L941" s="18">
        <f t="shared" si="28"/>
        <v>0.91</v>
      </c>
      <c r="M941" s="15" t="str">
        <f t="shared" si="29"/>
        <v>8</v>
      </c>
    </row>
    <row r="942" spans="8:13" ht="30" customHeight="1" x14ac:dyDescent="0.3">
      <c r="H942" s="10" t="s">
        <v>2945</v>
      </c>
      <c r="I942" s="11" t="s">
        <v>2946</v>
      </c>
      <c r="J942" s="10" t="s">
        <v>1820</v>
      </c>
      <c r="K942" s="11" t="s">
        <v>2740</v>
      </c>
      <c r="L942" s="18">
        <f t="shared" si="28"/>
        <v>0.83</v>
      </c>
      <c r="M942" s="15" t="str">
        <f t="shared" si="29"/>
        <v>8</v>
      </c>
    </row>
    <row r="943" spans="8:13" ht="30" customHeight="1" x14ac:dyDescent="0.3">
      <c r="H943" s="10" t="s">
        <v>2945</v>
      </c>
      <c r="I943" s="11" t="s">
        <v>2946</v>
      </c>
      <c r="J943" s="10" t="s">
        <v>1419</v>
      </c>
      <c r="K943" s="11" t="s">
        <v>1420</v>
      </c>
      <c r="L943" s="18">
        <f t="shared" si="28"/>
        <v>0.88</v>
      </c>
      <c r="M943" s="15" t="str">
        <f t="shared" si="29"/>
        <v>8</v>
      </c>
    </row>
    <row r="944" spans="8:13" ht="60" customHeight="1" x14ac:dyDescent="0.3">
      <c r="H944" s="10" t="s">
        <v>2945</v>
      </c>
      <c r="I944" s="11" t="s">
        <v>2946</v>
      </c>
      <c r="J944" s="10" t="s">
        <v>1934</v>
      </c>
      <c r="K944" s="11" t="s">
        <v>2947</v>
      </c>
      <c r="L944" s="18">
        <f t="shared" si="28"/>
        <v>0.87</v>
      </c>
      <c r="M944" s="15" t="str">
        <f t="shared" si="29"/>
        <v>8</v>
      </c>
    </row>
    <row r="945" spans="8:13" ht="60" customHeight="1" x14ac:dyDescent="0.3">
      <c r="H945" s="10" t="s">
        <v>2945</v>
      </c>
      <c r="I945" s="11" t="s">
        <v>2946</v>
      </c>
      <c r="J945" s="10" t="s">
        <v>2139</v>
      </c>
      <c r="K945" s="11" t="s">
        <v>2948</v>
      </c>
      <c r="L945" s="18">
        <f t="shared" si="28"/>
        <v>0.91</v>
      </c>
      <c r="M945" s="15" t="str">
        <f t="shared" si="29"/>
        <v>8</v>
      </c>
    </row>
    <row r="946" spans="8:13" ht="45" customHeight="1" x14ac:dyDescent="0.3">
      <c r="H946" s="10" t="s">
        <v>2949</v>
      </c>
      <c r="I946" s="11" t="s">
        <v>2950</v>
      </c>
      <c r="J946" s="10" t="s">
        <v>2187</v>
      </c>
      <c r="K946" s="11" t="s">
        <v>2951</v>
      </c>
      <c r="L946" s="18">
        <f t="shared" si="28"/>
        <v>0.92</v>
      </c>
      <c r="M946" s="15" t="str">
        <f t="shared" si="29"/>
        <v>8</v>
      </c>
    </row>
    <row r="947" spans="8:13" ht="45" customHeight="1" x14ac:dyDescent="0.3">
      <c r="H947" s="10" t="s">
        <v>2949</v>
      </c>
      <c r="I947" s="11" t="s">
        <v>2950</v>
      </c>
      <c r="J947" s="10" t="s">
        <v>2116</v>
      </c>
      <c r="K947" s="11" t="s">
        <v>2700</v>
      </c>
      <c r="L947" s="18">
        <f t="shared" si="28"/>
        <v>0.91</v>
      </c>
      <c r="M947" s="15" t="str">
        <f t="shared" si="29"/>
        <v>8</v>
      </c>
    </row>
    <row r="948" spans="8:13" ht="30" customHeight="1" x14ac:dyDescent="0.3">
      <c r="H948" s="10" t="s">
        <v>2949</v>
      </c>
      <c r="I948" s="11" t="s">
        <v>2950</v>
      </c>
      <c r="J948" s="10" t="s">
        <v>1721</v>
      </c>
      <c r="K948" s="11" t="s">
        <v>2933</v>
      </c>
      <c r="L948" s="18">
        <f t="shared" si="28"/>
        <v>0.81</v>
      </c>
      <c r="M948" s="15" t="str">
        <f t="shared" si="29"/>
        <v>8</v>
      </c>
    </row>
    <row r="949" spans="8:13" ht="60" customHeight="1" x14ac:dyDescent="0.3">
      <c r="H949" s="10" t="s">
        <v>2952</v>
      </c>
      <c r="I949" s="11" t="s">
        <v>2953</v>
      </c>
      <c r="J949" s="10" t="s">
        <v>1613</v>
      </c>
      <c r="K949" s="11" t="s">
        <v>2954</v>
      </c>
      <c r="L949" s="18">
        <f t="shared" si="28"/>
        <v>0.76</v>
      </c>
      <c r="M949" s="15" t="str">
        <f t="shared" si="29"/>
        <v>8</v>
      </c>
    </row>
    <row r="950" spans="8:13" ht="45" customHeight="1" x14ac:dyDescent="0.3">
      <c r="H950" s="10" t="s">
        <v>2952</v>
      </c>
      <c r="I950" s="11" t="s">
        <v>2953</v>
      </c>
      <c r="J950" s="10" t="s">
        <v>1984</v>
      </c>
      <c r="K950" s="11" t="s">
        <v>2859</v>
      </c>
      <c r="L950" s="18">
        <f t="shared" si="28"/>
        <v>0.88</v>
      </c>
      <c r="M950" s="15" t="str">
        <f t="shared" si="29"/>
        <v>8</v>
      </c>
    </row>
    <row r="951" spans="8:13" ht="45" customHeight="1" x14ac:dyDescent="0.3">
      <c r="H951" s="10" t="s">
        <v>2952</v>
      </c>
      <c r="I951" s="11" t="s">
        <v>2953</v>
      </c>
      <c r="J951" s="10" t="s">
        <v>2079</v>
      </c>
      <c r="K951" s="11" t="s">
        <v>2792</v>
      </c>
      <c r="L951" s="18">
        <f t="shared" si="28"/>
        <v>0.9</v>
      </c>
      <c r="M951" s="15" t="str">
        <f t="shared" si="29"/>
        <v>8</v>
      </c>
    </row>
    <row r="952" spans="8:13" ht="45" customHeight="1" x14ac:dyDescent="0.3">
      <c r="H952" s="10" t="s">
        <v>2955</v>
      </c>
      <c r="I952" s="11" t="s">
        <v>2956</v>
      </c>
      <c r="J952" s="10" t="s">
        <v>2585</v>
      </c>
      <c r="K952" s="11" t="s">
        <v>2957</v>
      </c>
      <c r="L952" s="18">
        <f t="shared" si="28"/>
        <v>0.99</v>
      </c>
      <c r="M952" s="15" t="str">
        <f t="shared" si="29"/>
        <v>8</v>
      </c>
    </row>
    <row r="953" spans="8:13" ht="60" customHeight="1" x14ac:dyDescent="0.3">
      <c r="H953" s="10" t="s">
        <v>2958</v>
      </c>
      <c r="I953" s="11" t="s">
        <v>2959</v>
      </c>
      <c r="J953" s="10" t="s">
        <v>2469</v>
      </c>
      <c r="K953" s="11" t="s">
        <v>2932</v>
      </c>
      <c r="L953" s="18">
        <f t="shared" si="28"/>
        <v>0.97</v>
      </c>
      <c r="M953" s="15" t="str">
        <f t="shared" si="29"/>
        <v>8</v>
      </c>
    </row>
    <row r="954" spans="8:13" ht="45" customHeight="1" x14ac:dyDescent="0.3">
      <c r="H954" s="10" t="s">
        <v>2958</v>
      </c>
      <c r="I954" s="11" t="s">
        <v>2959</v>
      </c>
      <c r="J954" s="10" t="s">
        <v>2250</v>
      </c>
      <c r="K954" s="11" t="s">
        <v>2870</v>
      </c>
      <c r="L954" s="18">
        <f t="shared" si="28"/>
        <v>0.93</v>
      </c>
      <c r="M954" s="15" t="str">
        <f t="shared" si="29"/>
        <v>8</v>
      </c>
    </row>
    <row r="955" spans="8:13" ht="45" customHeight="1" x14ac:dyDescent="0.3">
      <c r="H955" s="10" t="s">
        <v>2958</v>
      </c>
      <c r="I955" s="11" t="s">
        <v>2959</v>
      </c>
      <c r="J955" s="10" t="s">
        <v>1003</v>
      </c>
      <c r="K955" s="11" t="s">
        <v>2873</v>
      </c>
      <c r="L955" s="18">
        <f t="shared" si="28"/>
        <v>0.37</v>
      </c>
      <c r="M955" s="15" t="str">
        <f t="shared" si="29"/>
        <v>8</v>
      </c>
    </row>
    <row r="956" spans="8:13" ht="30" customHeight="1" x14ac:dyDescent="0.3">
      <c r="H956" s="10" t="s">
        <v>2958</v>
      </c>
      <c r="I956" s="11" t="s">
        <v>2959</v>
      </c>
      <c r="J956" s="10" t="s">
        <v>2079</v>
      </c>
      <c r="K956" s="11" t="s">
        <v>2792</v>
      </c>
      <c r="L956" s="18">
        <f t="shared" si="28"/>
        <v>0.9</v>
      </c>
      <c r="M956" s="15" t="str">
        <f t="shared" si="29"/>
        <v>8</v>
      </c>
    </row>
    <row r="957" spans="8:13" ht="30" customHeight="1" x14ac:dyDescent="0.3">
      <c r="H957" s="10" t="s">
        <v>2958</v>
      </c>
      <c r="I957" s="11" t="s">
        <v>2959</v>
      </c>
      <c r="J957" s="10" t="s">
        <v>2317</v>
      </c>
      <c r="K957" s="11" t="s">
        <v>2960</v>
      </c>
      <c r="L957" s="18">
        <f t="shared" si="28"/>
        <v>0.94</v>
      </c>
      <c r="M957" s="15" t="str">
        <f t="shared" si="29"/>
        <v>8</v>
      </c>
    </row>
    <row r="958" spans="8:13" ht="60" customHeight="1" x14ac:dyDescent="0.3">
      <c r="H958" s="10" t="s">
        <v>2961</v>
      </c>
      <c r="I958" s="11" t="s">
        <v>2962</v>
      </c>
      <c r="J958" s="10" t="s">
        <v>2213</v>
      </c>
      <c r="K958" s="11" t="s">
        <v>2963</v>
      </c>
      <c r="L958" s="18">
        <f t="shared" si="28"/>
        <v>0.93</v>
      </c>
      <c r="M958" s="15" t="str">
        <f t="shared" si="29"/>
        <v>8</v>
      </c>
    </row>
    <row r="959" spans="8:13" ht="45" customHeight="1" x14ac:dyDescent="0.3">
      <c r="H959" s="10" t="s">
        <v>2961</v>
      </c>
      <c r="I959" s="11" t="s">
        <v>2962</v>
      </c>
      <c r="J959" s="10" t="s">
        <v>2156</v>
      </c>
      <c r="K959" s="11" t="s">
        <v>2739</v>
      </c>
      <c r="L959" s="18">
        <f t="shared" si="28"/>
        <v>0.91</v>
      </c>
      <c r="M959" s="15" t="str">
        <f t="shared" si="29"/>
        <v>8</v>
      </c>
    </row>
    <row r="960" spans="8:13" ht="45" customHeight="1" x14ac:dyDescent="0.3">
      <c r="H960" s="10" t="s">
        <v>2961</v>
      </c>
      <c r="I960" s="11" t="s">
        <v>2962</v>
      </c>
      <c r="J960" s="10" t="s">
        <v>2262</v>
      </c>
      <c r="K960" s="11" t="s">
        <v>2727</v>
      </c>
      <c r="L960" s="18">
        <f t="shared" si="28"/>
        <v>0.93</v>
      </c>
      <c r="M960" s="15" t="str">
        <f t="shared" si="29"/>
        <v>8</v>
      </c>
    </row>
    <row r="961" spans="8:13" ht="60" customHeight="1" x14ac:dyDescent="0.3">
      <c r="H961" s="10" t="s">
        <v>2961</v>
      </c>
      <c r="I961" s="11" t="s">
        <v>2962</v>
      </c>
      <c r="J961" s="10" t="s">
        <v>1820</v>
      </c>
      <c r="K961" s="11" t="s">
        <v>2740</v>
      </c>
      <c r="L961" s="18">
        <f t="shared" si="28"/>
        <v>0.83</v>
      </c>
      <c r="M961" s="15" t="str">
        <f t="shared" si="29"/>
        <v>8</v>
      </c>
    </row>
    <row r="962" spans="8:13" ht="60" customHeight="1" x14ac:dyDescent="0.3">
      <c r="H962" s="10" t="s">
        <v>2961</v>
      </c>
      <c r="I962" s="11" t="s">
        <v>2962</v>
      </c>
      <c r="J962" s="10" t="s">
        <v>1649</v>
      </c>
      <c r="K962" s="11" t="s">
        <v>2741</v>
      </c>
      <c r="L962" s="18">
        <f t="shared" si="28"/>
        <v>0.78</v>
      </c>
      <c r="M962" s="15" t="str">
        <f t="shared" si="29"/>
        <v>8</v>
      </c>
    </row>
    <row r="963" spans="8:13" ht="75" customHeight="1" x14ac:dyDescent="0.3">
      <c r="H963" s="10" t="s">
        <v>2961</v>
      </c>
      <c r="I963" s="11" t="s">
        <v>2962</v>
      </c>
      <c r="J963" s="10" t="s">
        <v>2273</v>
      </c>
      <c r="K963" s="11" t="s">
        <v>2742</v>
      </c>
      <c r="L963" s="18">
        <f t="shared" ref="L963:L1026" si="30">IFERROR(INDEX($D$3:$D$704,MATCH(TRIM(J963),$B$3:$B$704,0)),"")</f>
        <v>0.94</v>
      </c>
      <c r="M963" s="15" t="str">
        <f t="shared" ref="M963:M1026" si="31">LEFT(TEXT(H963,"0000")*0.1)</f>
        <v>8</v>
      </c>
    </row>
    <row r="964" spans="8:13" ht="60" customHeight="1" x14ac:dyDescent="0.3">
      <c r="H964" s="10" t="s">
        <v>2961</v>
      </c>
      <c r="I964" s="11" t="s">
        <v>2962</v>
      </c>
      <c r="J964" s="10" t="s">
        <v>2377</v>
      </c>
      <c r="K964" s="11" t="s">
        <v>2743</v>
      </c>
      <c r="L964" s="18">
        <f t="shared" si="30"/>
        <v>0.95</v>
      </c>
      <c r="M964" s="15" t="str">
        <f t="shared" si="31"/>
        <v>8</v>
      </c>
    </row>
    <row r="965" spans="8:13" ht="60" customHeight="1" x14ac:dyDescent="0.3">
      <c r="H965" s="10" t="s">
        <v>2961</v>
      </c>
      <c r="I965" s="11" t="s">
        <v>2962</v>
      </c>
      <c r="J965" s="10" t="s">
        <v>1842</v>
      </c>
      <c r="K965" s="11" t="s">
        <v>2744</v>
      </c>
      <c r="L965" s="18">
        <f t="shared" si="30"/>
        <v>0.84</v>
      </c>
      <c r="M965" s="15" t="str">
        <f t="shared" si="31"/>
        <v>8</v>
      </c>
    </row>
    <row r="966" spans="8:13" ht="60" customHeight="1" x14ac:dyDescent="0.3">
      <c r="H966" s="10" t="s">
        <v>2961</v>
      </c>
      <c r="I966" s="11" t="s">
        <v>2962</v>
      </c>
      <c r="J966" s="10" t="s">
        <v>2544</v>
      </c>
      <c r="K966" s="11" t="s">
        <v>2745</v>
      </c>
      <c r="L966" s="18">
        <f t="shared" si="30"/>
        <v>0.98</v>
      </c>
      <c r="M966" s="15" t="str">
        <f t="shared" si="31"/>
        <v>8</v>
      </c>
    </row>
    <row r="967" spans="8:13" ht="60" customHeight="1" x14ac:dyDescent="0.3">
      <c r="H967" s="10" t="s">
        <v>2961</v>
      </c>
      <c r="I967" s="11" t="s">
        <v>2962</v>
      </c>
      <c r="J967" s="10" t="s">
        <v>2360</v>
      </c>
      <c r="K967" s="11" t="s">
        <v>2709</v>
      </c>
      <c r="L967" s="18">
        <f t="shared" si="30"/>
        <v>0.95</v>
      </c>
      <c r="M967" s="15" t="str">
        <f t="shared" si="31"/>
        <v>8</v>
      </c>
    </row>
    <row r="968" spans="8:13" ht="60" customHeight="1" x14ac:dyDescent="0.3">
      <c r="H968" s="10" t="s">
        <v>2961</v>
      </c>
      <c r="I968" s="11" t="s">
        <v>2962</v>
      </c>
      <c r="J968" s="10" t="s">
        <v>2139</v>
      </c>
      <c r="K968" s="11" t="s">
        <v>2948</v>
      </c>
      <c r="L968" s="18">
        <f t="shared" si="30"/>
        <v>0.91</v>
      </c>
      <c r="M968" s="15" t="str">
        <f t="shared" si="31"/>
        <v>8</v>
      </c>
    </row>
    <row r="969" spans="8:13" ht="30" customHeight="1" x14ac:dyDescent="0.3">
      <c r="H969" s="10" t="s">
        <v>2961</v>
      </c>
      <c r="I969" s="11" t="s">
        <v>2962</v>
      </c>
      <c r="J969" s="10" t="s">
        <v>2187</v>
      </c>
      <c r="K969" s="11" t="s">
        <v>2951</v>
      </c>
      <c r="L969" s="18">
        <f t="shared" si="30"/>
        <v>0.92</v>
      </c>
      <c r="M969" s="15" t="str">
        <f t="shared" si="31"/>
        <v>8</v>
      </c>
    </row>
    <row r="970" spans="8:13" ht="45" customHeight="1" x14ac:dyDescent="0.3">
      <c r="H970" s="10" t="s">
        <v>2961</v>
      </c>
      <c r="I970" s="11" t="s">
        <v>2962</v>
      </c>
      <c r="J970" s="10" t="s">
        <v>2728</v>
      </c>
      <c r="K970" s="11" t="s">
        <v>2729</v>
      </c>
      <c r="L970" s="18" t="str">
        <f t="shared" si="30"/>
        <v/>
      </c>
      <c r="M970" s="15" t="str">
        <f t="shared" si="31"/>
        <v>8</v>
      </c>
    </row>
    <row r="971" spans="8:13" ht="45" customHeight="1" x14ac:dyDescent="0.3">
      <c r="H971" s="10" t="s">
        <v>2964</v>
      </c>
      <c r="I971" s="11" t="s">
        <v>2965</v>
      </c>
      <c r="J971" s="10" t="s">
        <v>2368</v>
      </c>
      <c r="K971" s="11" t="s">
        <v>2874</v>
      </c>
      <c r="L971" s="18">
        <f t="shared" si="30"/>
        <v>0.95</v>
      </c>
      <c r="M971" s="15" t="str">
        <f t="shared" si="31"/>
        <v>8</v>
      </c>
    </row>
    <row r="972" spans="8:13" ht="60" customHeight="1" x14ac:dyDescent="0.3">
      <c r="H972" s="10" t="s">
        <v>2964</v>
      </c>
      <c r="I972" s="11" t="s">
        <v>2965</v>
      </c>
      <c r="J972" s="10" t="s">
        <v>1426</v>
      </c>
      <c r="K972" s="11" t="s">
        <v>2966</v>
      </c>
      <c r="L972" s="18">
        <f t="shared" si="30"/>
        <v>0.67</v>
      </c>
      <c r="M972" s="15" t="str">
        <f t="shared" si="31"/>
        <v>8</v>
      </c>
    </row>
    <row r="973" spans="8:13" ht="45" customHeight="1" x14ac:dyDescent="0.3">
      <c r="H973" s="10" t="s">
        <v>2967</v>
      </c>
      <c r="I973" s="11" t="s">
        <v>2968</v>
      </c>
      <c r="J973" s="10" t="s">
        <v>2412</v>
      </c>
      <c r="K973" s="11" t="s">
        <v>2969</v>
      </c>
      <c r="L973" s="18">
        <f t="shared" si="30"/>
        <v>0.96</v>
      </c>
      <c r="M973" s="15" t="str">
        <f t="shared" si="31"/>
        <v>8</v>
      </c>
    </row>
    <row r="974" spans="8:13" ht="30" customHeight="1" x14ac:dyDescent="0.3">
      <c r="H974" s="10" t="s">
        <v>2970</v>
      </c>
      <c r="I974" s="11" t="s">
        <v>2971</v>
      </c>
      <c r="J974" s="10" t="s">
        <v>1552</v>
      </c>
      <c r="K974" s="11" t="s">
        <v>2972</v>
      </c>
      <c r="L974" s="18">
        <f t="shared" si="30"/>
        <v>0.73</v>
      </c>
      <c r="M974" s="15" t="str">
        <f t="shared" si="31"/>
        <v>8</v>
      </c>
    </row>
    <row r="975" spans="8:13" ht="45" customHeight="1" x14ac:dyDescent="0.3">
      <c r="H975" s="10" t="s">
        <v>2973</v>
      </c>
      <c r="I975" s="11" t="s">
        <v>2036</v>
      </c>
      <c r="J975" s="10" t="s">
        <v>2035</v>
      </c>
      <c r="K975" s="11" t="s">
        <v>2974</v>
      </c>
      <c r="L975" s="18">
        <f t="shared" si="30"/>
        <v>0.89</v>
      </c>
      <c r="M975" s="15" t="str">
        <f t="shared" si="31"/>
        <v>8</v>
      </c>
    </row>
    <row r="976" spans="8:13" ht="45" customHeight="1" x14ac:dyDescent="0.3">
      <c r="H976" s="10" t="s">
        <v>2975</v>
      </c>
      <c r="I976" s="11" t="s">
        <v>2976</v>
      </c>
      <c r="J976" s="10" t="s">
        <v>2461</v>
      </c>
      <c r="K976" s="11" t="s">
        <v>2977</v>
      </c>
      <c r="L976" s="18">
        <f t="shared" si="30"/>
        <v>0.97</v>
      </c>
      <c r="M976" s="15" t="str">
        <f t="shared" si="31"/>
        <v>8</v>
      </c>
    </row>
    <row r="977" spans="8:13" ht="30" customHeight="1" x14ac:dyDescent="0.3">
      <c r="H977" s="10" t="s">
        <v>2978</v>
      </c>
      <c r="I977" s="11" t="s">
        <v>2979</v>
      </c>
      <c r="J977" s="10" t="s">
        <v>2898</v>
      </c>
      <c r="K977" s="11" t="s">
        <v>2899</v>
      </c>
      <c r="L977" s="18" t="str">
        <f t="shared" si="30"/>
        <v/>
      </c>
      <c r="M977" s="15" t="str">
        <f t="shared" si="31"/>
        <v>8</v>
      </c>
    </row>
    <row r="978" spans="8:13" ht="30" customHeight="1" x14ac:dyDescent="0.3">
      <c r="H978" s="10" t="s">
        <v>2980</v>
      </c>
      <c r="I978" s="11" t="s">
        <v>2981</v>
      </c>
      <c r="J978" s="10" t="s">
        <v>2447</v>
      </c>
      <c r="K978" s="11" t="s">
        <v>2982</v>
      </c>
      <c r="L978" s="18">
        <f t="shared" si="30"/>
        <v>0.97</v>
      </c>
      <c r="M978" s="15" t="str">
        <f t="shared" si="31"/>
        <v>8</v>
      </c>
    </row>
    <row r="979" spans="8:13" ht="45" customHeight="1" x14ac:dyDescent="0.3">
      <c r="H979" s="10" t="s">
        <v>2983</v>
      </c>
      <c r="I979" s="11" t="s">
        <v>2984</v>
      </c>
      <c r="J979" s="10" t="s">
        <v>1517</v>
      </c>
      <c r="K979" s="11" t="s">
        <v>2985</v>
      </c>
      <c r="L979" s="18">
        <f t="shared" si="30"/>
        <v>0.71</v>
      </c>
      <c r="M979" s="15" t="str">
        <f t="shared" si="31"/>
        <v>8</v>
      </c>
    </row>
    <row r="980" spans="8:13" ht="60" customHeight="1" x14ac:dyDescent="0.3">
      <c r="H980" s="10" t="s">
        <v>2986</v>
      </c>
      <c r="I980" s="11" t="s">
        <v>2987</v>
      </c>
      <c r="J980" s="10" t="s">
        <v>2898</v>
      </c>
      <c r="K980" s="11" t="s">
        <v>2899</v>
      </c>
      <c r="L980" s="18" t="str">
        <f t="shared" si="30"/>
        <v/>
      </c>
      <c r="M980" s="15" t="str">
        <f t="shared" si="31"/>
        <v>8</v>
      </c>
    </row>
    <row r="981" spans="8:13" ht="30" customHeight="1" x14ac:dyDescent="0.3">
      <c r="H981" s="10" t="s">
        <v>2988</v>
      </c>
      <c r="I981" s="11" t="s">
        <v>2989</v>
      </c>
      <c r="J981" s="10" t="s">
        <v>2107</v>
      </c>
      <c r="K981" s="11" t="s">
        <v>2853</v>
      </c>
      <c r="L981" s="18">
        <f t="shared" si="30"/>
        <v>0.91</v>
      </c>
      <c r="M981" s="15" t="str">
        <f t="shared" si="31"/>
        <v>8</v>
      </c>
    </row>
    <row r="982" spans="8:13" ht="30" customHeight="1" x14ac:dyDescent="0.3">
      <c r="H982" s="10" t="s">
        <v>2988</v>
      </c>
      <c r="I982" s="11" t="s">
        <v>2989</v>
      </c>
      <c r="J982" s="10" t="s">
        <v>1490</v>
      </c>
      <c r="K982" s="11" t="s">
        <v>2990</v>
      </c>
      <c r="L982" s="18">
        <f t="shared" si="30"/>
        <v>0.7</v>
      </c>
      <c r="M982" s="15" t="str">
        <f t="shared" si="31"/>
        <v>8</v>
      </c>
    </row>
    <row r="983" spans="8:13" ht="30" customHeight="1" x14ac:dyDescent="0.3">
      <c r="H983" s="10" t="s">
        <v>2988</v>
      </c>
      <c r="I983" s="11" t="s">
        <v>2989</v>
      </c>
      <c r="J983" s="10" t="s">
        <v>1324</v>
      </c>
      <c r="K983" s="11" t="s">
        <v>2862</v>
      </c>
      <c r="L983" s="18">
        <f t="shared" si="30"/>
        <v>0.61</v>
      </c>
      <c r="M983" s="15" t="str">
        <f t="shared" si="31"/>
        <v>8</v>
      </c>
    </row>
    <row r="984" spans="8:13" ht="60" customHeight="1" x14ac:dyDescent="0.3">
      <c r="H984" s="10" t="s">
        <v>2988</v>
      </c>
      <c r="I984" s="11" t="s">
        <v>2989</v>
      </c>
      <c r="J984" s="10" t="s">
        <v>2863</v>
      </c>
      <c r="K984" s="11" t="s">
        <v>2864</v>
      </c>
      <c r="L984" s="18" t="str">
        <f t="shared" si="30"/>
        <v/>
      </c>
      <c r="M984" s="15" t="str">
        <f t="shared" si="31"/>
        <v>8</v>
      </c>
    </row>
    <row r="985" spans="8:13" ht="45" customHeight="1" x14ac:dyDescent="0.3">
      <c r="H985" s="10" t="s">
        <v>2988</v>
      </c>
      <c r="I985" s="11" t="s">
        <v>2989</v>
      </c>
      <c r="J985" s="10" t="s">
        <v>2250</v>
      </c>
      <c r="K985" s="11" t="s">
        <v>2870</v>
      </c>
      <c r="L985" s="18">
        <f t="shared" si="30"/>
        <v>0.93</v>
      </c>
      <c r="M985" s="15" t="str">
        <f t="shared" si="31"/>
        <v>8</v>
      </c>
    </row>
    <row r="986" spans="8:13" ht="45" customHeight="1" x14ac:dyDescent="0.3">
      <c r="H986" s="10" t="s">
        <v>2988</v>
      </c>
      <c r="I986" s="11" t="s">
        <v>2989</v>
      </c>
      <c r="J986" s="10" t="s">
        <v>2208</v>
      </c>
      <c r="K986" s="11" t="s">
        <v>2991</v>
      </c>
      <c r="L986" s="18">
        <f t="shared" si="30"/>
        <v>0.93</v>
      </c>
      <c r="M986" s="15" t="str">
        <f t="shared" si="31"/>
        <v>8</v>
      </c>
    </row>
    <row r="987" spans="8:13" ht="45" customHeight="1" x14ac:dyDescent="0.3">
      <c r="H987" s="10" t="s">
        <v>2992</v>
      </c>
      <c r="I987" s="11" t="s">
        <v>2993</v>
      </c>
      <c r="J987" s="10" t="s">
        <v>1721</v>
      </c>
      <c r="K987" s="11" t="s">
        <v>2933</v>
      </c>
      <c r="L987" s="18">
        <f t="shared" si="30"/>
        <v>0.81</v>
      </c>
      <c r="M987" s="15" t="str">
        <f t="shared" si="31"/>
        <v>8</v>
      </c>
    </row>
    <row r="988" spans="8:13" ht="45" customHeight="1" x14ac:dyDescent="0.3">
      <c r="H988" s="10" t="s">
        <v>2992</v>
      </c>
      <c r="I988" s="11" t="s">
        <v>2993</v>
      </c>
      <c r="J988" s="10" t="s">
        <v>1426</v>
      </c>
      <c r="K988" s="11" t="s">
        <v>2966</v>
      </c>
      <c r="L988" s="18">
        <f t="shared" si="30"/>
        <v>0.67</v>
      </c>
      <c r="M988" s="15" t="str">
        <f t="shared" si="31"/>
        <v>8</v>
      </c>
    </row>
    <row r="989" spans="8:13" ht="75" customHeight="1" x14ac:dyDescent="0.3">
      <c r="H989" s="10" t="s">
        <v>2994</v>
      </c>
      <c r="I989" s="11" t="s">
        <v>2995</v>
      </c>
      <c r="J989" s="10" t="s">
        <v>1898</v>
      </c>
      <c r="K989" s="11" t="s">
        <v>2996</v>
      </c>
      <c r="L989" s="18">
        <f t="shared" si="30"/>
        <v>0.86</v>
      </c>
      <c r="M989" s="15" t="str">
        <f t="shared" si="31"/>
        <v>8</v>
      </c>
    </row>
    <row r="990" spans="8:13" ht="45" customHeight="1" x14ac:dyDescent="0.3">
      <c r="H990" s="10" t="s">
        <v>2997</v>
      </c>
      <c r="I990" s="11" t="s">
        <v>2998</v>
      </c>
      <c r="J990" s="10" t="s">
        <v>1989</v>
      </c>
      <c r="K990" s="11" t="s">
        <v>2999</v>
      </c>
      <c r="L990" s="18">
        <f t="shared" si="30"/>
        <v>0.88</v>
      </c>
      <c r="M990" s="15" t="str">
        <f t="shared" si="31"/>
        <v>8</v>
      </c>
    </row>
    <row r="991" spans="8:13" ht="45" customHeight="1" x14ac:dyDescent="0.3">
      <c r="H991" s="10" t="s">
        <v>2997</v>
      </c>
      <c r="I991" s="11" t="s">
        <v>2998</v>
      </c>
      <c r="J991" s="10" t="s">
        <v>2469</v>
      </c>
      <c r="K991" s="11" t="s">
        <v>2932</v>
      </c>
      <c r="L991" s="18">
        <f t="shared" si="30"/>
        <v>0.97</v>
      </c>
      <c r="M991" s="15" t="str">
        <f t="shared" si="31"/>
        <v>8</v>
      </c>
    </row>
    <row r="992" spans="8:13" ht="60" customHeight="1" x14ac:dyDescent="0.3">
      <c r="H992" s="10" t="s">
        <v>2997</v>
      </c>
      <c r="I992" s="11" t="s">
        <v>2998</v>
      </c>
      <c r="J992" s="10" t="s">
        <v>1787</v>
      </c>
      <c r="K992" s="11" t="s">
        <v>2943</v>
      </c>
      <c r="L992" s="18">
        <f t="shared" si="30"/>
        <v>0.83</v>
      </c>
      <c r="M992" s="15" t="str">
        <f t="shared" si="31"/>
        <v>8</v>
      </c>
    </row>
    <row r="993" spans="8:13" ht="45" customHeight="1" x14ac:dyDescent="0.3">
      <c r="H993" s="10" t="s">
        <v>2997</v>
      </c>
      <c r="I993" s="11" t="s">
        <v>2998</v>
      </c>
      <c r="J993" s="10" t="s">
        <v>2250</v>
      </c>
      <c r="K993" s="11" t="s">
        <v>2870</v>
      </c>
      <c r="L993" s="18">
        <f t="shared" si="30"/>
        <v>0.93</v>
      </c>
      <c r="M993" s="15" t="str">
        <f t="shared" si="31"/>
        <v>8</v>
      </c>
    </row>
    <row r="994" spans="8:13" ht="45" customHeight="1" x14ac:dyDescent="0.3">
      <c r="H994" s="10" t="s">
        <v>2997</v>
      </c>
      <c r="I994" s="11" t="s">
        <v>2998</v>
      </c>
      <c r="J994" s="10" t="s">
        <v>1003</v>
      </c>
      <c r="K994" s="11" t="s">
        <v>2873</v>
      </c>
      <c r="L994" s="18">
        <f t="shared" si="30"/>
        <v>0.37</v>
      </c>
      <c r="M994" s="15" t="str">
        <f t="shared" si="31"/>
        <v>8</v>
      </c>
    </row>
    <row r="995" spans="8:13" ht="30" customHeight="1" x14ac:dyDescent="0.3">
      <c r="H995" s="10" t="s">
        <v>2997</v>
      </c>
      <c r="I995" s="11" t="s">
        <v>2998</v>
      </c>
      <c r="J995" s="10" t="s">
        <v>2079</v>
      </c>
      <c r="K995" s="11" t="s">
        <v>2792</v>
      </c>
      <c r="L995" s="18">
        <f t="shared" si="30"/>
        <v>0.9</v>
      </c>
      <c r="M995" s="15" t="str">
        <f t="shared" si="31"/>
        <v>8</v>
      </c>
    </row>
    <row r="996" spans="8:13" ht="45" customHeight="1" x14ac:dyDescent="0.3">
      <c r="H996" s="10" t="s">
        <v>3000</v>
      </c>
      <c r="I996" s="11" t="s">
        <v>3001</v>
      </c>
      <c r="J996" s="10" t="s">
        <v>2029</v>
      </c>
      <c r="K996" s="11" t="s">
        <v>3002</v>
      </c>
      <c r="L996" s="18">
        <f t="shared" si="30"/>
        <v>0.89</v>
      </c>
      <c r="M996" s="15" t="str">
        <f t="shared" si="31"/>
        <v>8</v>
      </c>
    </row>
    <row r="997" spans="8:13" ht="45" customHeight="1" x14ac:dyDescent="0.3">
      <c r="H997" s="10" t="s">
        <v>3003</v>
      </c>
      <c r="I997" s="11" t="s">
        <v>3004</v>
      </c>
      <c r="J997" s="10" t="s">
        <v>2551</v>
      </c>
      <c r="K997" s="11" t="s">
        <v>3005</v>
      </c>
      <c r="L997" s="18">
        <f t="shared" si="30"/>
        <v>0.98</v>
      </c>
      <c r="M997" s="15" t="str">
        <f t="shared" si="31"/>
        <v>8</v>
      </c>
    </row>
    <row r="998" spans="8:13" ht="45" customHeight="1" x14ac:dyDescent="0.3">
      <c r="H998" s="10" t="s">
        <v>3006</v>
      </c>
      <c r="I998" s="11" t="s">
        <v>3007</v>
      </c>
      <c r="J998" s="10" t="s">
        <v>1975</v>
      </c>
      <c r="K998" s="13" t="s">
        <v>1976</v>
      </c>
      <c r="L998" s="18">
        <f t="shared" si="30"/>
        <v>0.88</v>
      </c>
      <c r="M998" s="15" t="str">
        <f t="shared" si="31"/>
        <v>8</v>
      </c>
    </row>
    <row r="999" spans="8:13" ht="45" customHeight="1" x14ac:dyDescent="0.3">
      <c r="H999" s="10" t="s">
        <v>3006</v>
      </c>
      <c r="I999" s="11" t="s">
        <v>3007</v>
      </c>
      <c r="J999" s="10" t="s">
        <v>2368</v>
      </c>
      <c r="K999" s="11" t="s">
        <v>2874</v>
      </c>
      <c r="L999" s="18">
        <f t="shared" si="30"/>
        <v>0.95</v>
      </c>
      <c r="M999" s="15" t="str">
        <f t="shared" si="31"/>
        <v>8</v>
      </c>
    </row>
    <row r="1000" spans="8:13" ht="45" customHeight="1" x14ac:dyDescent="0.3">
      <c r="H1000" s="10" t="s">
        <v>3006</v>
      </c>
      <c r="I1000" s="11" t="s">
        <v>3007</v>
      </c>
      <c r="J1000" s="10" t="s">
        <v>2208</v>
      </c>
      <c r="K1000" s="11" t="s">
        <v>2991</v>
      </c>
      <c r="L1000" s="18">
        <f t="shared" si="30"/>
        <v>0.93</v>
      </c>
      <c r="M1000" s="15" t="str">
        <f t="shared" si="31"/>
        <v>8</v>
      </c>
    </row>
    <row r="1001" spans="8:13" ht="45" customHeight="1" x14ac:dyDescent="0.3">
      <c r="H1001" s="10" t="s">
        <v>3006</v>
      </c>
      <c r="I1001" s="11" t="s">
        <v>3007</v>
      </c>
      <c r="J1001" s="10" t="s">
        <v>2223</v>
      </c>
      <c r="K1001" s="11" t="s">
        <v>3008</v>
      </c>
      <c r="L1001" s="18">
        <f t="shared" si="30"/>
        <v>0.93</v>
      </c>
      <c r="M1001" s="15" t="str">
        <f t="shared" si="31"/>
        <v>8</v>
      </c>
    </row>
    <row r="1002" spans="8:13" ht="30" customHeight="1" x14ac:dyDescent="0.3">
      <c r="H1002" s="10" t="s">
        <v>3009</v>
      </c>
      <c r="I1002" s="11" t="s">
        <v>3010</v>
      </c>
      <c r="J1002" s="10" t="s">
        <v>1688</v>
      </c>
      <c r="K1002" s="11" t="s">
        <v>3011</v>
      </c>
      <c r="L1002" s="18">
        <f t="shared" si="30"/>
        <v>0.79</v>
      </c>
      <c r="M1002" s="15" t="str">
        <f t="shared" si="31"/>
        <v>8</v>
      </c>
    </row>
    <row r="1003" spans="8:13" ht="30" customHeight="1" x14ac:dyDescent="0.3">
      <c r="H1003" s="10" t="s">
        <v>3009</v>
      </c>
      <c r="I1003" s="11" t="s">
        <v>3010</v>
      </c>
      <c r="J1003" s="10" t="s">
        <v>1737</v>
      </c>
      <c r="K1003" s="11" t="s">
        <v>3012</v>
      </c>
      <c r="L1003" s="18">
        <f t="shared" si="30"/>
        <v>0.82</v>
      </c>
      <c r="M1003" s="15" t="str">
        <f t="shared" si="31"/>
        <v>8</v>
      </c>
    </row>
    <row r="1004" spans="8:13" ht="30" customHeight="1" x14ac:dyDescent="0.3">
      <c r="H1004" s="10" t="s">
        <v>3013</v>
      </c>
      <c r="I1004" s="11" t="s">
        <v>2365</v>
      </c>
      <c r="J1004" s="10" t="s">
        <v>1563</v>
      </c>
      <c r="K1004" s="13" t="s">
        <v>3014</v>
      </c>
      <c r="L1004" s="18">
        <f t="shared" si="30"/>
        <v>0.73</v>
      </c>
      <c r="M1004" s="15" t="str">
        <f t="shared" si="31"/>
        <v>8</v>
      </c>
    </row>
    <row r="1005" spans="8:13" ht="30" customHeight="1" x14ac:dyDescent="0.3">
      <c r="H1005" s="10" t="s">
        <v>3013</v>
      </c>
      <c r="I1005" s="11" t="s">
        <v>2365</v>
      </c>
      <c r="J1005" s="10" t="s">
        <v>2364</v>
      </c>
      <c r="K1005" s="13" t="s">
        <v>3015</v>
      </c>
      <c r="L1005" s="18">
        <f t="shared" si="30"/>
        <v>0.95</v>
      </c>
      <c r="M1005" s="15" t="str">
        <f t="shared" si="31"/>
        <v>8</v>
      </c>
    </row>
    <row r="1006" spans="8:13" ht="30" customHeight="1" x14ac:dyDescent="0.3">
      <c r="H1006" s="10" t="s">
        <v>3013</v>
      </c>
      <c r="I1006" s="11" t="s">
        <v>2365</v>
      </c>
      <c r="J1006" s="10" t="s">
        <v>2453</v>
      </c>
      <c r="K1006" s="13" t="s">
        <v>3016</v>
      </c>
      <c r="L1006" s="18">
        <f t="shared" si="30"/>
        <v>0.97</v>
      </c>
      <c r="M1006" s="15" t="str">
        <f t="shared" si="31"/>
        <v>8</v>
      </c>
    </row>
    <row r="1007" spans="8:13" ht="30" customHeight="1" x14ac:dyDescent="0.3">
      <c r="H1007" s="10" t="s">
        <v>3013</v>
      </c>
      <c r="I1007" s="11" t="s">
        <v>2365</v>
      </c>
      <c r="J1007" s="10" t="s">
        <v>2575</v>
      </c>
      <c r="K1007" s="13" t="s">
        <v>3017</v>
      </c>
      <c r="L1007" s="18">
        <f t="shared" si="30"/>
        <v>0.98</v>
      </c>
      <c r="M1007" s="15" t="str">
        <f t="shared" si="31"/>
        <v>8</v>
      </c>
    </row>
    <row r="1008" spans="8:13" ht="30" customHeight="1" x14ac:dyDescent="0.3">
      <c r="H1008" s="10" t="s">
        <v>3013</v>
      </c>
      <c r="I1008" s="11" t="s">
        <v>2365</v>
      </c>
      <c r="J1008" s="10" t="s">
        <v>2556</v>
      </c>
      <c r="K1008" s="13" t="s">
        <v>2799</v>
      </c>
      <c r="L1008" s="18">
        <f t="shared" si="30"/>
        <v>0.98</v>
      </c>
      <c r="M1008" s="15" t="str">
        <f t="shared" si="31"/>
        <v>8</v>
      </c>
    </row>
    <row r="1009" spans="8:13" ht="30" customHeight="1" x14ac:dyDescent="0.3">
      <c r="H1009" s="10" t="s">
        <v>3018</v>
      </c>
      <c r="I1009" s="11" t="s">
        <v>3019</v>
      </c>
      <c r="J1009" s="10" t="s">
        <v>2444</v>
      </c>
      <c r="K1009" s="11" t="s">
        <v>3020</v>
      </c>
      <c r="L1009" s="18">
        <f t="shared" si="30"/>
        <v>0.97</v>
      </c>
      <c r="M1009" s="15" t="str">
        <f t="shared" si="31"/>
        <v>8</v>
      </c>
    </row>
    <row r="1010" spans="8:13" ht="60" customHeight="1" x14ac:dyDescent="0.3">
      <c r="H1010" s="10" t="s">
        <v>3018</v>
      </c>
      <c r="I1010" s="11" t="s">
        <v>3019</v>
      </c>
      <c r="J1010" s="10" t="s">
        <v>3021</v>
      </c>
      <c r="K1010" s="11" t="s">
        <v>3022</v>
      </c>
      <c r="L1010" s="18" t="str">
        <f t="shared" si="30"/>
        <v/>
      </c>
      <c r="M1010" s="15" t="str">
        <f t="shared" si="31"/>
        <v>8</v>
      </c>
    </row>
    <row r="1011" spans="8:13" ht="15" customHeight="1" x14ac:dyDescent="0.3">
      <c r="H1011" s="10" t="s">
        <v>3023</v>
      </c>
      <c r="I1011" s="11" t="s">
        <v>3024</v>
      </c>
      <c r="J1011" s="10" t="s">
        <v>439</v>
      </c>
      <c r="K1011" s="11" t="s">
        <v>1455</v>
      </c>
      <c r="L1011" s="18">
        <f t="shared" si="30"/>
        <v>2.9000000000000001E-2</v>
      </c>
      <c r="M1011" s="15" t="str">
        <f t="shared" si="31"/>
        <v>8</v>
      </c>
    </row>
    <row r="1012" spans="8:13" ht="15" customHeight="1" x14ac:dyDescent="0.3">
      <c r="H1012" s="10" t="s">
        <v>3023</v>
      </c>
      <c r="I1012" s="11" t="s">
        <v>3024</v>
      </c>
      <c r="J1012" s="10" t="s">
        <v>2415</v>
      </c>
      <c r="K1012" s="11" t="s">
        <v>3025</v>
      </c>
      <c r="L1012" s="18">
        <f t="shared" si="30"/>
        <v>0.96</v>
      </c>
      <c r="M1012" s="15" t="str">
        <f t="shared" si="31"/>
        <v>8</v>
      </c>
    </row>
    <row r="1013" spans="8:13" ht="45" customHeight="1" x14ac:dyDescent="0.3">
      <c r="H1013" s="10" t="s">
        <v>3023</v>
      </c>
      <c r="I1013" s="11" t="s">
        <v>3024</v>
      </c>
      <c r="J1013" s="10" t="s">
        <v>2233</v>
      </c>
      <c r="K1013" s="11" t="s">
        <v>3026</v>
      </c>
      <c r="L1013" s="18">
        <f t="shared" si="30"/>
        <v>0.93</v>
      </c>
      <c r="M1013" s="15" t="str">
        <f t="shared" si="31"/>
        <v>8</v>
      </c>
    </row>
    <row r="1014" spans="8:13" ht="30" customHeight="1" x14ac:dyDescent="0.3">
      <c r="H1014" s="10" t="s">
        <v>3023</v>
      </c>
      <c r="I1014" s="11" t="s">
        <v>3024</v>
      </c>
      <c r="J1014" s="10" t="s">
        <v>2126</v>
      </c>
      <c r="K1014" s="11" t="s">
        <v>3027</v>
      </c>
      <c r="L1014" s="18">
        <f t="shared" si="30"/>
        <v>0.91</v>
      </c>
      <c r="M1014" s="15" t="str">
        <f t="shared" si="31"/>
        <v>8</v>
      </c>
    </row>
    <row r="1015" spans="8:13" ht="30" customHeight="1" x14ac:dyDescent="0.3">
      <c r="H1015" s="10" t="s">
        <v>3023</v>
      </c>
      <c r="I1015" s="11" t="s">
        <v>3024</v>
      </c>
      <c r="J1015" s="10" t="s">
        <v>1904</v>
      </c>
      <c r="K1015" s="11" t="s">
        <v>3028</v>
      </c>
      <c r="L1015" s="18">
        <f t="shared" si="30"/>
        <v>0.86</v>
      </c>
      <c r="M1015" s="15" t="str">
        <f t="shared" si="31"/>
        <v>8</v>
      </c>
    </row>
    <row r="1016" spans="8:13" ht="60" customHeight="1" x14ac:dyDescent="0.3">
      <c r="H1016" s="10" t="s">
        <v>3023</v>
      </c>
      <c r="I1016" s="11" t="s">
        <v>3024</v>
      </c>
      <c r="J1016" s="10" t="s">
        <v>1026</v>
      </c>
      <c r="K1016" s="11" t="s">
        <v>3029</v>
      </c>
      <c r="L1016" s="18">
        <f t="shared" si="30"/>
        <v>0.37</v>
      </c>
      <c r="M1016" s="15" t="str">
        <f t="shared" si="31"/>
        <v>8</v>
      </c>
    </row>
    <row r="1017" spans="8:13" ht="30" customHeight="1" x14ac:dyDescent="0.3">
      <c r="H1017" s="10" t="s">
        <v>3030</v>
      </c>
      <c r="I1017" s="11" t="s">
        <v>3031</v>
      </c>
      <c r="J1017" s="10" t="s">
        <v>439</v>
      </c>
      <c r="K1017" s="11" t="s">
        <v>1455</v>
      </c>
      <c r="L1017" s="18">
        <f t="shared" si="30"/>
        <v>2.9000000000000001E-2</v>
      </c>
      <c r="M1017" s="15" t="str">
        <f t="shared" si="31"/>
        <v>8</v>
      </c>
    </row>
    <row r="1018" spans="8:13" ht="30" customHeight="1" x14ac:dyDescent="0.3">
      <c r="H1018" s="10" t="s">
        <v>3030</v>
      </c>
      <c r="I1018" s="11" t="s">
        <v>3031</v>
      </c>
      <c r="J1018" s="10" t="s">
        <v>1771</v>
      </c>
      <c r="K1018" s="11" t="s">
        <v>3032</v>
      </c>
      <c r="L1018" s="18">
        <f t="shared" si="30"/>
        <v>0.83</v>
      </c>
      <c r="M1018" s="15" t="str">
        <f t="shared" si="31"/>
        <v>8</v>
      </c>
    </row>
    <row r="1019" spans="8:13" ht="30" customHeight="1" x14ac:dyDescent="0.3">
      <c r="H1019" s="10" t="s">
        <v>3030</v>
      </c>
      <c r="I1019" s="11" t="s">
        <v>3031</v>
      </c>
      <c r="J1019" s="10" t="s">
        <v>1775</v>
      </c>
      <c r="K1019" s="11" t="s">
        <v>3033</v>
      </c>
      <c r="L1019" s="18">
        <f t="shared" si="30"/>
        <v>0.83</v>
      </c>
      <c r="M1019" s="15" t="str">
        <f t="shared" si="31"/>
        <v>8</v>
      </c>
    </row>
    <row r="1020" spans="8:13" ht="15" customHeight="1" x14ac:dyDescent="0.3">
      <c r="H1020" s="10" t="s">
        <v>3030</v>
      </c>
      <c r="I1020" s="11" t="s">
        <v>3031</v>
      </c>
      <c r="J1020" s="10" t="s">
        <v>3034</v>
      </c>
      <c r="K1020" s="11" t="s">
        <v>3035</v>
      </c>
      <c r="L1020" s="18" t="str">
        <f t="shared" si="30"/>
        <v/>
      </c>
      <c r="M1020" s="15" t="str">
        <f t="shared" si="31"/>
        <v>8</v>
      </c>
    </row>
    <row r="1021" spans="8:13" ht="60" customHeight="1" x14ac:dyDescent="0.3">
      <c r="H1021" s="10" t="s">
        <v>3036</v>
      </c>
      <c r="I1021" s="11" t="s">
        <v>3037</v>
      </c>
      <c r="J1021" s="10" t="s">
        <v>2231</v>
      </c>
      <c r="K1021" s="11" t="s">
        <v>2232</v>
      </c>
      <c r="L1021" s="18">
        <f t="shared" si="30"/>
        <v>0.94</v>
      </c>
      <c r="M1021" s="15" t="str">
        <f t="shared" si="31"/>
        <v>8</v>
      </c>
    </row>
    <row r="1022" spans="8:13" ht="30" customHeight="1" x14ac:dyDescent="0.3">
      <c r="H1022" s="10" t="s">
        <v>3036</v>
      </c>
      <c r="I1022" s="11" t="s">
        <v>3037</v>
      </c>
      <c r="J1022" s="10" t="s">
        <v>439</v>
      </c>
      <c r="K1022" s="11" t="s">
        <v>1455</v>
      </c>
      <c r="L1022" s="18">
        <f t="shared" si="30"/>
        <v>2.9000000000000001E-2</v>
      </c>
      <c r="M1022" s="15" t="str">
        <f t="shared" si="31"/>
        <v>8</v>
      </c>
    </row>
    <row r="1023" spans="8:13" ht="60" customHeight="1" x14ac:dyDescent="0.3">
      <c r="H1023" s="10" t="s">
        <v>3036</v>
      </c>
      <c r="I1023" s="11" t="s">
        <v>3037</v>
      </c>
      <c r="J1023" s="10" t="s">
        <v>3038</v>
      </c>
      <c r="K1023" s="11" t="s">
        <v>3039</v>
      </c>
      <c r="L1023" s="18" t="str">
        <f t="shared" si="30"/>
        <v/>
      </c>
      <c r="M1023" s="15" t="str">
        <f t="shared" si="31"/>
        <v>8</v>
      </c>
    </row>
    <row r="1024" spans="8:13" ht="60" customHeight="1" x14ac:dyDescent="0.3">
      <c r="H1024" s="10" t="s">
        <v>3040</v>
      </c>
      <c r="I1024" s="11" t="s">
        <v>3041</v>
      </c>
      <c r="J1024" s="10" t="s">
        <v>439</v>
      </c>
      <c r="K1024" s="11" t="s">
        <v>1455</v>
      </c>
      <c r="L1024" s="18">
        <f t="shared" si="30"/>
        <v>2.9000000000000001E-2</v>
      </c>
      <c r="M1024" s="15" t="str">
        <f t="shared" si="31"/>
        <v>8</v>
      </c>
    </row>
    <row r="1025" spans="8:13" ht="15" customHeight="1" x14ac:dyDescent="0.3">
      <c r="H1025" s="10" t="s">
        <v>3040</v>
      </c>
      <c r="I1025" s="11" t="s">
        <v>3041</v>
      </c>
      <c r="J1025" s="10" t="s">
        <v>893</v>
      </c>
      <c r="K1025" s="11" t="s">
        <v>3042</v>
      </c>
      <c r="L1025" s="18">
        <f t="shared" si="30"/>
        <v>0.25</v>
      </c>
      <c r="M1025" s="15" t="str">
        <f t="shared" si="31"/>
        <v>8</v>
      </c>
    </row>
    <row r="1026" spans="8:13" ht="30" customHeight="1" x14ac:dyDescent="0.3">
      <c r="H1026" s="10" t="s">
        <v>3040</v>
      </c>
      <c r="I1026" s="11" t="s">
        <v>3041</v>
      </c>
      <c r="J1026" s="10" t="s">
        <v>2535</v>
      </c>
      <c r="K1026" s="11" t="s">
        <v>3043</v>
      </c>
      <c r="L1026" s="18">
        <f t="shared" si="30"/>
        <v>0.98</v>
      </c>
      <c r="M1026" s="15" t="str">
        <f t="shared" si="31"/>
        <v>8</v>
      </c>
    </row>
    <row r="1027" spans="8:13" ht="30" customHeight="1" x14ac:dyDescent="0.3">
      <c r="H1027" s="10" t="s">
        <v>3040</v>
      </c>
      <c r="I1027" s="11" t="s">
        <v>3041</v>
      </c>
      <c r="J1027" s="10" t="s">
        <v>1472</v>
      </c>
      <c r="K1027" s="11" t="s">
        <v>3044</v>
      </c>
      <c r="L1027" s="18">
        <f t="shared" ref="L1027:L1090" si="32">IFERROR(INDEX($D$3:$D$704,MATCH(TRIM(J1027),$B$3:$B$704,0)),"")</f>
        <v>0.69</v>
      </c>
      <c r="M1027" s="15" t="str">
        <f t="shared" ref="M1027:M1090" si="33">LEFT(TEXT(H1027,"0000")*0.1)</f>
        <v>8</v>
      </c>
    </row>
    <row r="1028" spans="8:13" ht="60" customHeight="1" x14ac:dyDescent="0.3">
      <c r="H1028" s="10" t="s">
        <v>3040</v>
      </c>
      <c r="I1028" s="11" t="s">
        <v>3041</v>
      </c>
      <c r="J1028" s="10" t="s">
        <v>2039</v>
      </c>
      <c r="K1028" s="11" t="s">
        <v>3045</v>
      </c>
      <c r="L1028" s="18">
        <f t="shared" si="32"/>
        <v>0.89</v>
      </c>
      <c r="M1028" s="15" t="str">
        <f t="shared" si="33"/>
        <v>8</v>
      </c>
    </row>
    <row r="1029" spans="8:13" ht="30" customHeight="1" x14ac:dyDescent="0.3">
      <c r="H1029" s="10" t="s">
        <v>3046</v>
      </c>
      <c r="I1029" s="11" t="s">
        <v>3047</v>
      </c>
      <c r="J1029" s="10" t="s">
        <v>439</v>
      </c>
      <c r="K1029" s="11" t="s">
        <v>1455</v>
      </c>
      <c r="L1029" s="18">
        <f t="shared" si="32"/>
        <v>2.9000000000000001E-2</v>
      </c>
      <c r="M1029" s="15" t="str">
        <f t="shared" si="33"/>
        <v>8</v>
      </c>
    </row>
    <row r="1030" spans="8:13" ht="30" customHeight="1" x14ac:dyDescent="0.3">
      <c r="H1030" s="10" t="s">
        <v>3046</v>
      </c>
      <c r="I1030" s="11" t="s">
        <v>3047</v>
      </c>
      <c r="J1030" s="10" t="s">
        <v>1440</v>
      </c>
      <c r="K1030" s="11" t="s">
        <v>3048</v>
      </c>
      <c r="L1030" s="18">
        <f t="shared" si="32"/>
        <v>0.67</v>
      </c>
      <c r="M1030" s="15" t="str">
        <f t="shared" si="33"/>
        <v>8</v>
      </c>
    </row>
    <row r="1031" spans="8:13" ht="30" customHeight="1" x14ac:dyDescent="0.3">
      <c r="H1031" s="10" t="s">
        <v>3046</v>
      </c>
      <c r="I1031" s="11" t="s">
        <v>3047</v>
      </c>
      <c r="J1031" s="10" t="s">
        <v>2018</v>
      </c>
      <c r="K1031" s="11" t="s">
        <v>3049</v>
      </c>
      <c r="L1031" s="18">
        <f t="shared" si="32"/>
        <v>0.89</v>
      </c>
      <c r="M1031" s="15" t="str">
        <f t="shared" si="33"/>
        <v>8</v>
      </c>
    </row>
    <row r="1032" spans="8:13" ht="60" customHeight="1" x14ac:dyDescent="0.3">
      <c r="H1032" s="10" t="s">
        <v>3046</v>
      </c>
      <c r="I1032" s="11" t="s">
        <v>3047</v>
      </c>
      <c r="J1032" s="10" t="s">
        <v>1904</v>
      </c>
      <c r="K1032" s="11" t="s">
        <v>3028</v>
      </c>
      <c r="L1032" s="18">
        <f t="shared" si="32"/>
        <v>0.86</v>
      </c>
      <c r="M1032" s="15" t="str">
        <f t="shared" si="33"/>
        <v>8</v>
      </c>
    </row>
    <row r="1033" spans="8:13" ht="30" customHeight="1" x14ac:dyDescent="0.3">
      <c r="H1033" s="10" t="s">
        <v>3050</v>
      </c>
      <c r="I1033" s="11" t="s">
        <v>3051</v>
      </c>
      <c r="J1033" s="10" t="s">
        <v>439</v>
      </c>
      <c r="K1033" s="11" t="s">
        <v>1455</v>
      </c>
      <c r="L1033" s="18">
        <f t="shared" si="32"/>
        <v>2.9000000000000001E-2</v>
      </c>
      <c r="M1033" s="15" t="str">
        <f t="shared" si="33"/>
        <v>8</v>
      </c>
    </row>
    <row r="1034" spans="8:13" ht="30" customHeight="1" x14ac:dyDescent="0.3">
      <c r="H1034" s="10" t="s">
        <v>3050</v>
      </c>
      <c r="I1034" s="11" t="s">
        <v>3051</v>
      </c>
      <c r="J1034" s="10" t="s">
        <v>1666</v>
      </c>
      <c r="K1034" s="11" t="s">
        <v>3052</v>
      </c>
      <c r="L1034" s="18">
        <f t="shared" si="32"/>
        <v>0.79</v>
      </c>
      <c r="M1034" s="15" t="str">
        <f t="shared" si="33"/>
        <v>8</v>
      </c>
    </row>
    <row r="1035" spans="8:13" ht="30" customHeight="1" x14ac:dyDescent="0.3">
      <c r="H1035" s="10" t="s">
        <v>3053</v>
      </c>
      <c r="I1035" s="11" t="s">
        <v>3054</v>
      </c>
      <c r="J1035" s="10" t="s">
        <v>2593</v>
      </c>
      <c r="K1035" s="11" t="s">
        <v>2594</v>
      </c>
      <c r="L1035" s="18" t="str">
        <f t="shared" si="32"/>
        <v/>
      </c>
      <c r="M1035" s="15" t="str">
        <f t="shared" si="33"/>
        <v>8</v>
      </c>
    </row>
    <row r="1036" spans="8:13" ht="45" customHeight="1" x14ac:dyDescent="0.3">
      <c r="H1036" s="10" t="s">
        <v>3053</v>
      </c>
      <c r="I1036" s="11" t="s">
        <v>3054</v>
      </c>
      <c r="J1036" s="10" t="s">
        <v>1692</v>
      </c>
      <c r="K1036" s="11" t="s">
        <v>2624</v>
      </c>
      <c r="L1036" s="18">
        <f t="shared" si="32"/>
        <v>0.79</v>
      </c>
      <c r="M1036" s="15" t="str">
        <f t="shared" si="33"/>
        <v>8</v>
      </c>
    </row>
    <row r="1037" spans="8:13" ht="30" customHeight="1" x14ac:dyDescent="0.3">
      <c r="H1037" s="10" t="s">
        <v>3055</v>
      </c>
      <c r="I1037" s="11" t="s">
        <v>3056</v>
      </c>
      <c r="J1037" s="10" t="s">
        <v>1824</v>
      </c>
      <c r="K1037" s="11" t="s">
        <v>3057</v>
      </c>
      <c r="L1037" s="18">
        <f t="shared" si="32"/>
        <v>0.83</v>
      </c>
      <c r="M1037" s="15" t="str">
        <f t="shared" si="33"/>
        <v>8</v>
      </c>
    </row>
    <row r="1038" spans="8:13" ht="45" customHeight="1" x14ac:dyDescent="0.3">
      <c r="H1038" s="10" t="s">
        <v>3055</v>
      </c>
      <c r="I1038" s="11" t="s">
        <v>3056</v>
      </c>
      <c r="J1038" s="10" t="s">
        <v>1756</v>
      </c>
      <c r="K1038" s="11" t="s">
        <v>3058</v>
      </c>
      <c r="L1038" s="18">
        <f t="shared" si="32"/>
        <v>0.82</v>
      </c>
      <c r="M1038" s="15" t="str">
        <f t="shared" si="33"/>
        <v>8</v>
      </c>
    </row>
    <row r="1039" spans="8:13" ht="30" customHeight="1" x14ac:dyDescent="0.3">
      <c r="H1039" s="10" t="s">
        <v>3055</v>
      </c>
      <c r="I1039" s="11" t="s">
        <v>3056</v>
      </c>
      <c r="J1039" s="10" t="s">
        <v>2350</v>
      </c>
      <c r="K1039" s="11" t="s">
        <v>3059</v>
      </c>
      <c r="L1039" s="18">
        <f t="shared" si="32"/>
        <v>0.95</v>
      </c>
      <c r="M1039" s="15" t="str">
        <f t="shared" si="33"/>
        <v>8</v>
      </c>
    </row>
    <row r="1040" spans="8:13" ht="45" customHeight="1" x14ac:dyDescent="0.3">
      <c r="H1040" s="10" t="s">
        <v>3055</v>
      </c>
      <c r="I1040" s="11" t="s">
        <v>3056</v>
      </c>
      <c r="J1040" s="10" t="s">
        <v>2169</v>
      </c>
      <c r="K1040" s="11" t="s">
        <v>3060</v>
      </c>
      <c r="L1040" s="18">
        <f t="shared" si="32"/>
        <v>0.92</v>
      </c>
      <c r="M1040" s="15" t="str">
        <f t="shared" si="33"/>
        <v>8</v>
      </c>
    </row>
    <row r="1041" spans="8:13" ht="30" customHeight="1" x14ac:dyDescent="0.3">
      <c r="H1041" s="10" t="s">
        <v>3055</v>
      </c>
      <c r="I1041" s="11" t="s">
        <v>3056</v>
      </c>
      <c r="J1041" s="10" t="s">
        <v>2308</v>
      </c>
      <c r="K1041" s="11" t="s">
        <v>2928</v>
      </c>
      <c r="L1041" s="18">
        <f t="shared" si="32"/>
        <v>0.94</v>
      </c>
      <c r="M1041" s="15" t="str">
        <f t="shared" si="33"/>
        <v>8</v>
      </c>
    </row>
    <row r="1042" spans="8:13" ht="60" customHeight="1" x14ac:dyDescent="0.3">
      <c r="H1042" s="10" t="s">
        <v>3061</v>
      </c>
      <c r="I1042" s="11" t="s">
        <v>3062</v>
      </c>
      <c r="J1042" s="10" t="s">
        <v>1522</v>
      </c>
      <c r="K1042" s="11" t="s">
        <v>3063</v>
      </c>
      <c r="L1042" s="18">
        <f t="shared" si="32"/>
        <v>0.72</v>
      </c>
      <c r="M1042" s="15" t="str">
        <f t="shared" si="33"/>
        <v>8</v>
      </c>
    </row>
    <row r="1043" spans="8:13" ht="30" customHeight="1" x14ac:dyDescent="0.3">
      <c r="H1043" s="10" t="s">
        <v>3061</v>
      </c>
      <c r="I1043" s="11" t="s">
        <v>3062</v>
      </c>
      <c r="J1043" s="10" t="s">
        <v>439</v>
      </c>
      <c r="K1043" s="11" t="s">
        <v>1455</v>
      </c>
      <c r="L1043" s="18">
        <f t="shared" si="32"/>
        <v>2.9000000000000001E-2</v>
      </c>
      <c r="M1043" s="15" t="str">
        <f t="shared" si="33"/>
        <v>8</v>
      </c>
    </row>
    <row r="1044" spans="8:13" ht="30" customHeight="1" x14ac:dyDescent="0.3">
      <c r="H1044" s="10" t="s">
        <v>3061</v>
      </c>
      <c r="I1044" s="11" t="s">
        <v>3062</v>
      </c>
      <c r="J1044" s="10" t="s">
        <v>2433</v>
      </c>
      <c r="K1044" s="11" t="s">
        <v>3064</v>
      </c>
      <c r="L1044" s="18">
        <f t="shared" si="32"/>
        <v>0.97</v>
      </c>
      <c r="M1044" s="15" t="str">
        <f t="shared" si="33"/>
        <v>8</v>
      </c>
    </row>
    <row r="1045" spans="8:13" ht="30" customHeight="1" x14ac:dyDescent="0.3">
      <c r="H1045" s="10" t="s">
        <v>3061</v>
      </c>
      <c r="I1045" s="11" t="s">
        <v>3062</v>
      </c>
      <c r="J1045" s="10" t="s">
        <v>2065</v>
      </c>
      <c r="K1045" s="11" t="s">
        <v>3065</v>
      </c>
      <c r="L1045" s="18">
        <f t="shared" si="32"/>
        <v>0.9</v>
      </c>
      <c r="M1045" s="15" t="str">
        <f t="shared" si="33"/>
        <v>8</v>
      </c>
    </row>
    <row r="1046" spans="8:13" ht="60" customHeight="1" x14ac:dyDescent="0.3">
      <c r="H1046" s="10" t="s">
        <v>3061</v>
      </c>
      <c r="I1046" s="11" t="s">
        <v>3062</v>
      </c>
      <c r="J1046" s="10" t="s">
        <v>1399</v>
      </c>
      <c r="K1046" s="11" t="s">
        <v>3066</v>
      </c>
      <c r="L1046" s="18">
        <f t="shared" si="32"/>
        <v>0.65</v>
      </c>
      <c r="M1046" s="15" t="str">
        <f t="shared" si="33"/>
        <v>8</v>
      </c>
    </row>
    <row r="1047" spans="8:13" ht="30" customHeight="1" x14ac:dyDescent="0.3">
      <c r="H1047" s="10" t="s">
        <v>3067</v>
      </c>
      <c r="I1047" s="11" t="s">
        <v>3068</v>
      </c>
      <c r="J1047" s="10" t="s">
        <v>439</v>
      </c>
      <c r="K1047" s="11" t="s">
        <v>1455</v>
      </c>
      <c r="L1047" s="18">
        <f t="shared" si="32"/>
        <v>2.9000000000000001E-2</v>
      </c>
      <c r="M1047" s="15" t="str">
        <f t="shared" si="33"/>
        <v>8</v>
      </c>
    </row>
    <row r="1048" spans="8:13" ht="30" customHeight="1" x14ac:dyDescent="0.3">
      <c r="H1048" s="10" t="s">
        <v>3067</v>
      </c>
      <c r="I1048" s="11" t="s">
        <v>3068</v>
      </c>
      <c r="J1048" s="10" t="s">
        <v>2265</v>
      </c>
      <c r="K1048" s="11" t="s">
        <v>3069</v>
      </c>
      <c r="L1048" s="18">
        <f t="shared" si="32"/>
        <v>0.93</v>
      </c>
      <c r="M1048" s="15" t="str">
        <f t="shared" si="33"/>
        <v>8</v>
      </c>
    </row>
    <row r="1049" spans="8:13" ht="30" customHeight="1" x14ac:dyDescent="0.3">
      <c r="H1049" s="10" t="s">
        <v>3070</v>
      </c>
      <c r="I1049" s="11" t="s">
        <v>3071</v>
      </c>
      <c r="J1049" s="10" t="s">
        <v>1784</v>
      </c>
      <c r="K1049" s="11" t="s">
        <v>3072</v>
      </c>
      <c r="L1049" s="18">
        <f t="shared" si="32"/>
        <v>0.83</v>
      </c>
      <c r="M1049" s="15" t="str">
        <f t="shared" si="33"/>
        <v>8</v>
      </c>
    </row>
    <row r="1050" spans="8:13" ht="30" customHeight="1" x14ac:dyDescent="0.3">
      <c r="H1050" s="10" t="s">
        <v>3070</v>
      </c>
      <c r="I1050" s="11" t="s">
        <v>3071</v>
      </c>
      <c r="J1050" s="10" t="s">
        <v>1332</v>
      </c>
      <c r="K1050" s="11" t="s">
        <v>3073</v>
      </c>
      <c r="L1050" s="18">
        <f t="shared" si="32"/>
        <v>0.62</v>
      </c>
      <c r="M1050" s="15" t="str">
        <f t="shared" si="33"/>
        <v>8</v>
      </c>
    </row>
    <row r="1051" spans="8:13" ht="45" customHeight="1" x14ac:dyDescent="0.3">
      <c r="H1051" s="10" t="s">
        <v>3074</v>
      </c>
      <c r="I1051" s="11" t="s">
        <v>3075</v>
      </c>
      <c r="J1051" s="10" t="s">
        <v>1475</v>
      </c>
      <c r="K1051" s="11" t="s">
        <v>3076</v>
      </c>
      <c r="L1051" s="18">
        <f t="shared" si="32"/>
        <v>0.69</v>
      </c>
      <c r="M1051" s="15" t="str">
        <f t="shared" si="33"/>
        <v>9</v>
      </c>
    </row>
    <row r="1052" spans="8:13" ht="30" customHeight="1" x14ac:dyDescent="0.3">
      <c r="H1052" s="10" t="s">
        <v>3077</v>
      </c>
      <c r="I1052" s="11" t="s">
        <v>3078</v>
      </c>
      <c r="J1052" s="10" t="s">
        <v>1415</v>
      </c>
      <c r="K1052" s="11" t="s">
        <v>2372</v>
      </c>
      <c r="L1052" s="18">
        <f t="shared" si="32"/>
        <v>0.66</v>
      </c>
      <c r="M1052" s="15" t="str">
        <f t="shared" si="33"/>
        <v>9</v>
      </c>
    </row>
    <row r="1053" spans="8:13" ht="30" customHeight="1" x14ac:dyDescent="0.3">
      <c r="H1053" s="10" t="s">
        <v>3077</v>
      </c>
      <c r="I1053" s="11" t="s">
        <v>3078</v>
      </c>
      <c r="J1053" s="10" t="s">
        <v>1475</v>
      </c>
      <c r="K1053" s="11" t="s">
        <v>3076</v>
      </c>
      <c r="L1053" s="18">
        <f t="shared" si="32"/>
        <v>0.69</v>
      </c>
      <c r="M1053" s="15" t="str">
        <f t="shared" si="33"/>
        <v>9</v>
      </c>
    </row>
    <row r="1054" spans="8:13" ht="45" customHeight="1" x14ac:dyDescent="0.3">
      <c r="H1054" s="10" t="s">
        <v>3077</v>
      </c>
      <c r="I1054" s="11" t="s">
        <v>3078</v>
      </c>
      <c r="J1054" s="10" t="s">
        <v>1006</v>
      </c>
      <c r="K1054" s="11" t="s">
        <v>3079</v>
      </c>
      <c r="L1054" s="18">
        <f t="shared" si="32"/>
        <v>0.37</v>
      </c>
      <c r="M1054" s="15" t="str">
        <f t="shared" si="33"/>
        <v>9</v>
      </c>
    </row>
    <row r="1055" spans="8:13" ht="30" customHeight="1" x14ac:dyDescent="0.3">
      <c r="H1055" s="10" t="s">
        <v>3080</v>
      </c>
      <c r="I1055" s="11" t="s">
        <v>3081</v>
      </c>
      <c r="J1055" s="10" t="s">
        <v>1733</v>
      </c>
      <c r="K1055" s="11" t="s">
        <v>3082</v>
      </c>
      <c r="L1055" s="18">
        <f t="shared" si="32"/>
        <v>0.81</v>
      </c>
      <c r="M1055" s="15" t="str">
        <f t="shared" si="33"/>
        <v>9</v>
      </c>
    </row>
    <row r="1056" spans="8:13" ht="45" customHeight="1" x14ac:dyDescent="0.3">
      <c r="H1056" s="10" t="s">
        <v>3083</v>
      </c>
      <c r="I1056" s="11" t="s">
        <v>3084</v>
      </c>
      <c r="J1056" s="10" t="s">
        <v>1006</v>
      </c>
      <c r="K1056" s="11" t="s">
        <v>3079</v>
      </c>
      <c r="L1056" s="18">
        <f t="shared" si="32"/>
        <v>0.37</v>
      </c>
      <c r="M1056" s="15" t="str">
        <f t="shared" si="33"/>
        <v>9</v>
      </c>
    </row>
    <row r="1057" spans="8:13" ht="30" customHeight="1" x14ac:dyDescent="0.3">
      <c r="H1057" s="10" t="s">
        <v>3085</v>
      </c>
      <c r="I1057" s="11" t="s">
        <v>3086</v>
      </c>
      <c r="J1057" s="10" t="s">
        <v>1415</v>
      </c>
      <c r="K1057" s="11" t="s">
        <v>2372</v>
      </c>
      <c r="L1057" s="18">
        <f t="shared" si="32"/>
        <v>0.66</v>
      </c>
      <c r="M1057" s="15" t="str">
        <f t="shared" si="33"/>
        <v>9</v>
      </c>
    </row>
    <row r="1058" spans="8:13" ht="30" customHeight="1" x14ac:dyDescent="0.3">
      <c r="H1058" s="10" t="s">
        <v>3087</v>
      </c>
      <c r="I1058" s="11" t="s">
        <v>3088</v>
      </c>
      <c r="J1058" s="10" t="s">
        <v>2704</v>
      </c>
      <c r="K1058" s="11" t="s">
        <v>2705</v>
      </c>
      <c r="L1058" s="18" t="str">
        <f t="shared" si="32"/>
        <v/>
      </c>
      <c r="M1058" s="15" t="str">
        <f t="shared" si="33"/>
        <v>9</v>
      </c>
    </row>
    <row r="1059" spans="8:13" ht="45" customHeight="1" x14ac:dyDescent="0.3">
      <c r="H1059" s="10" t="s">
        <v>3087</v>
      </c>
      <c r="I1059" s="11" t="s">
        <v>3088</v>
      </c>
      <c r="J1059" s="10" t="s">
        <v>1804</v>
      </c>
      <c r="K1059" s="11" t="s">
        <v>3089</v>
      </c>
      <c r="L1059" s="18">
        <f t="shared" si="32"/>
        <v>0.83</v>
      </c>
      <c r="M1059" s="15" t="str">
        <f t="shared" si="33"/>
        <v>9</v>
      </c>
    </row>
    <row r="1060" spans="8:13" ht="30" customHeight="1" x14ac:dyDescent="0.3">
      <c r="H1060" s="10" t="s">
        <v>3090</v>
      </c>
      <c r="I1060" s="11" t="s">
        <v>3091</v>
      </c>
      <c r="J1060" s="10" t="s">
        <v>2639</v>
      </c>
      <c r="K1060" s="11" t="s">
        <v>2640</v>
      </c>
      <c r="L1060" s="18" t="str">
        <f t="shared" si="32"/>
        <v/>
      </c>
      <c r="M1060" s="15" t="str">
        <f t="shared" si="33"/>
        <v>9</v>
      </c>
    </row>
    <row r="1061" spans="8:13" ht="45" customHeight="1" x14ac:dyDescent="0.3">
      <c r="H1061" s="10" t="s">
        <v>3090</v>
      </c>
      <c r="I1061" s="11" t="s">
        <v>3091</v>
      </c>
      <c r="J1061" s="10" t="s">
        <v>3092</v>
      </c>
      <c r="K1061" s="11" t="s">
        <v>3093</v>
      </c>
      <c r="L1061" s="18" t="str">
        <f t="shared" si="32"/>
        <v/>
      </c>
      <c r="M1061" s="15" t="str">
        <f t="shared" si="33"/>
        <v>9</v>
      </c>
    </row>
    <row r="1062" spans="8:13" ht="30" customHeight="1" x14ac:dyDescent="0.3">
      <c r="H1062" s="10" t="s">
        <v>3094</v>
      </c>
      <c r="I1062" s="11" t="s">
        <v>3095</v>
      </c>
      <c r="J1062" s="10" t="s">
        <v>2643</v>
      </c>
      <c r="K1062" s="11" t="s">
        <v>2644</v>
      </c>
      <c r="L1062" s="18" t="str">
        <f t="shared" si="32"/>
        <v/>
      </c>
      <c r="M1062" s="15" t="str">
        <f t="shared" si="33"/>
        <v>9</v>
      </c>
    </row>
    <row r="1063" spans="8:13" ht="45" customHeight="1" x14ac:dyDescent="0.3">
      <c r="H1063" s="10" t="s">
        <v>3094</v>
      </c>
      <c r="I1063" s="11" t="s">
        <v>3095</v>
      </c>
      <c r="J1063" s="10" t="s">
        <v>3092</v>
      </c>
      <c r="K1063" s="11" t="s">
        <v>3093</v>
      </c>
      <c r="L1063" s="18" t="str">
        <f t="shared" si="32"/>
        <v/>
      </c>
      <c r="M1063" s="15" t="str">
        <f t="shared" si="33"/>
        <v>9</v>
      </c>
    </row>
    <row r="1064" spans="8:13" ht="45" customHeight="1" x14ac:dyDescent="0.3">
      <c r="H1064" s="10" t="s">
        <v>3096</v>
      </c>
      <c r="I1064" s="11" t="s">
        <v>3097</v>
      </c>
      <c r="J1064" s="10" t="s">
        <v>2639</v>
      </c>
      <c r="K1064" s="11" t="s">
        <v>2640</v>
      </c>
      <c r="L1064" s="18" t="str">
        <f t="shared" si="32"/>
        <v/>
      </c>
      <c r="M1064" s="15" t="str">
        <f t="shared" si="33"/>
        <v>9</v>
      </c>
    </row>
    <row r="1065" spans="8:13" ht="30" customHeight="1" x14ac:dyDescent="0.3">
      <c r="H1065" s="10" t="s">
        <v>3096</v>
      </c>
      <c r="I1065" s="11" t="s">
        <v>3097</v>
      </c>
      <c r="J1065" s="10" t="s">
        <v>2643</v>
      </c>
      <c r="K1065" s="11" t="s">
        <v>2644</v>
      </c>
      <c r="L1065" s="18" t="str">
        <f t="shared" si="32"/>
        <v/>
      </c>
      <c r="M1065" s="15" t="str">
        <f t="shared" si="33"/>
        <v>9</v>
      </c>
    </row>
    <row r="1066" spans="8:13" ht="30" customHeight="1" x14ac:dyDescent="0.3">
      <c r="H1066" s="10" t="s">
        <v>3096</v>
      </c>
      <c r="I1066" s="11" t="s">
        <v>3097</v>
      </c>
      <c r="J1066" s="10" t="s">
        <v>3092</v>
      </c>
      <c r="K1066" s="11" t="s">
        <v>3093</v>
      </c>
      <c r="L1066" s="18" t="str">
        <f t="shared" si="32"/>
        <v/>
      </c>
      <c r="M1066" s="15" t="str">
        <f t="shared" si="33"/>
        <v>9</v>
      </c>
    </row>
    <row r="1067" spans="8:13" ht="30" customHeight="1" x14ac:dyDescent="0.3">
      <c r="H1067" s="10" t="s">
        <v>3098</v>
      </c>
      <c r="I1067" s="11" t="s">
        <v>3099</v>
      </c>
      <c r="J1067" s="10" t="s">
        <v>2373</v>
      </c>
      <c r="K1067" s="11" t="s">
        <v>3100</v>
      </c>
      <c r="L1067" s="18">
        <f t="shared" si="32"/>
        <v>0.95</v>
      </c>
      <c r="M1067" s="15" t="str">
        <f t="shared" si="33"/>
        <v>9</v>
      </c>
    </row>
    <row r="1068" spans="8:13" ht="45" customHeight="1" x14ac:dyDescent="0.3">
      <c r="H1068" s="10" t="s">
        <v>3098</v>
      </c>
      <c r="I1068" s="11" t="s">
        <v>3099</v>
      </c>
      <c r="J1068" s="10" t="s">
        <v>3101</v>
      </c>
      <c r="K1068" s="11" t="s">
        <v>3102</v>
      </c>
      <c r="L1068" s="18" t="str">
        <f t="shared" si="32"/>
        <v/>
      </c>
      <c r="M1068" s="15" t="str">
        <f t="shared" si="33"/>
        <v>9</v>
      </c>
    </row>
    <row r="1069" spans="8:13" ht="30" customHeight="1" x14ac:dyDescent="0.3">
      <c r="H1069" s="10" t="s">
        <v>3098</v>
      </c>
      <c r="I1069" s="11" t="s">
        <v>3099</v>
      </c>
      <c r="J1069" s="10" t="s">
        <v>2639</v>
      </c>
      <c r="K1069" s="11" t="s">
        <v>2640</v>
      </c>
      <c r="L1069" s="18" t="str">
        <f t="shared" si="32"/>
        <v/>
      </c>
      <c r="M1069" s="15" t="str">
        <f t="shared" si="33"/>
        <v>9</v>
      </c>
    </row>
    <row r="1070" spans="8:13" ht="30" customHeight="1" x14ac:dyDescent="0.3">
      <c r="H1070" s="10" t="s">
        <v>3103</v>
      </c>
      <c r="I1070" s="11" t="s">
        <v>3104</v>
      </c>
      <c r="J1070" s="10" t="s">
        <v>1931</v>
      </c>
      <c r="K1070" s="11" t="s">
        <v>2623</v>
      </c>
      <c r="L1070" s="18">
        <f t="shared" si="32"/>
        <v>0.87</v>
      </c>
      <c r="M1070" s="15" t="str">
        <f t="shared" si="33"/>
        <v>9</v>
      </c>
    </row>
    <row r="1071" spans="8:13" ht="45" customHeight="1" x14ac:dyDescent="0.3">
      <c r="H1071" s="10" t="s">
        <v>3103</v>
      </c>
      <c r="I1071" s="11" t="s">
        <v>3104</v>
      </c>
      <c r="J1071" s="10" t="s">
        <v>2626</v>
      </c>
      <c r="K1071" s="11" t="s">
        <v>2627</v>
      </c>
      <c r="L1071" s="18" t="str">
        <f t="shared" si="32"/>
        <v/>
      </c>
      <c r="M1071" s="15" t="str">
        <f t="shared" si="33"/>
        <v>9</v>
      </c>
    </row>
    <row r="1072" spans="8:13" ht="30" customHeight="1" x14ac:dyDescent="0.3">
      <c r="H1072" s="10" t="s">
        <v>3105</v>
      </c>
      <c r="I1072" s="11" t="s">
        <v>3106</v>
      </c>
      <c r="J1072" s="10" t="s">
        <v>2643</v>
      </c>
      <c r="K1072" s="11" t="s">
        <v>2644</v>
      </c>
      <c r="L1072" s="18" t="str">
        <f t="shared" si="32"/>
        <v/>
      </c>
      <c r="M1072" s="15" t="str">
        <f t="shared" si="33"/>
        <v>9</v>
      </c>
    </row>
    <row r="1073" spans="8:13" ht="30" customHeight="1" x14ac:dyDescent="0.3">
      <c r="H1073" s="10" t="s">
        <v>3105</v>
      </c>
      <c r="I1073" s="11" t="s">
        <v>3106</v>
      </c>
      <c r="J1073" s="10" t="s">
        <v>1764</v>
      </c>
      <c r="K1073" s="11" t="s">
        <v>2632</v>
      </c>
      <c r="L1073" s="18">
        <f t="shared" si="32"/>
        <v>0.83</v>
      </c>
      <c r="M1073" s="15" t="str">
        <f t="shared" si="33"/>
        <v>9</v>
      </c>
    </row>
    <row r="1074" spans="8:13" ht="30" customHeight="1" x14ac:dyDescent="0.3">
      <c r="H1074" s="10" t="s">
        <v>3107</v>
      </c>
      <c r="I1074" s="11" t="s">
        <v>3108</v>
      </c>
      <c r="J1074" s="10" t="s">
        <v>1014</v>
      </c>
      <c r="K1074" s="11" t="s">
        <v>3109</v>
      </c>
      <c r="L1074" s="18">
        <f t="shared" si="32"/>
        <v>0.37</v>
      </c>
      <c r="M1074" s="15" t="str">
        <f t="shared" si="33"/>
        <v>9</v>
      </c>
    </row>
    <row r="1075" spans="8:13" ht="30" customHeight="1" x14ac:dyDescent="0.3">
      <c r="H1075" s="10" t="s">
        <v>3107</v>
      </c>
      <c r="I1075" s="11" t="s">
        <v>3108</v>
      </c>
      <c r="J1075" s="10" t="s">
        <v>3110</v>
      </c>
      <c r="K1075" s="11" t="s">
        <v>3111</v>
      </c>
      <c r="L1075" s="18" t="str">
        <f t="shared" si="32"/>
        <v/>
      </c>
      <c r="M1075" s="15" t="str">
        <f t="shared" si="33"/>
        <v>9</v>
      </c>
    </row>
    <row r="1076" spans="8:13" ht="30" customHeight="1" x14ac:dyDescent="0.3">
      <c r="H1076" s="10" t="s">
        <v>3112</v>
      </c>
      <c r="I1076" s="11" t="s">
        <v>3113</v>
      </c>
      <c r="J1076" s="10" t="s">
        <v>3114</v>
      </c>
      <c r="K1076" s="11" t="s">
        <v>3115</v>
      </c>
      <c r="L1076" s="18" t="str">
        <f t="shared" si="32"/>
        <v/>
      </c>
      <c r="M1076" s="15" t="str">
        <f t="shared" si="33"/>
        <v>9</v>
      </c>
    </row>
    <row r="1077" spans="8:13" ht="45" customHeight="1" x14ac:dyDescent="0.3">
      <c r="H1077" s="10" t="s">
        <v>3112</v>
      </c>
      <c r="I1077" s="11" t="s">
        <v>3113</v>
      </c>
      <c r="J1077" s="10" t="s">
        <v>1963</v>
      </c>
      <c r="K1077" s="11" t="s">
        <v>3116</v>
      </c>
      <c r="L1077" s="18">
        <f t="shared" si="32"/>
        <v>0.87</v>
      </c>
      <c r="M1077" s="15" t="str">
        <f t="shared" si="33"/>
        <v>9</v>
      </c>
    </row>
    <row r="1078" spans="8:13" ht="15" customHeight="1" x14ac:dyDescent="0.3">
      <c r="H1078" s="10" t="s">
        <v>3112</v>
      </c>
      <c r="I1078" s="11" t="s">
        <v>3113</v>
      </c>
      <c r="J1078" s="10" t="s">
        <v>2025</v>
      </c>
      <c r="K1078" s="11" t="s">
        <v>3117</v>
      </c>
      <c r="L1078" s="18">
        <f t="shared" si="32"/>
        <v>0.89</v>
      </c>
      <c r="M1078" s="15" t="str">
        <f t="shared" si="33"/>
        <v>9</v>
      </c>
    </row>
    <row r="1079" spans="8:13" ht="60" customHeight="1" x14ac:dyDescent="0.3">
      <c r="H1079" s="10" t="s">
        <v>3118</v>
      </c>
      <c r="I1079" s="11" t="s">
        <v>3119</v>
      </c>
      <c r="J1079" s="10" t="s">
        <v>1969</v>
      </c>
      <c r="K1079" s="11" t="s">
        <v>3120</v>
      </c>
      <c r="L1079" s="18">
        <f t="shared" si="32"/>
        <v>0.88</v>
      </c>
      <c r="M1079" s="15" t="str">
        <f t="shared" si="33"/>
        <v>9</v>
      </c>
    </row>
    <row r="1080" spans="8:13" ht="15" customHeight="1" x14ac:dyDescent="0.3">
      <c r="H1080" s="10" t="s">
        <v>3118</v>
      </c>
      <c r="I1080" s="11" t="s">
        <v>3119</v>
      </c>
      <c r="J1080" s="10" t="s">
        <v>1789</v>
      </c>
      <c r="K1080" s="11" t="s">
        <v>3121</v>
      </c>
      <c r="L1080" s="18">
        <f t="shared" si="32"/>
        <v>0.83</v>
      </c>
      <c r="M1080" s="15" t="str">
        <f t="shared" si="33"/>
        <v>9</v>
      </c>
    </row>
    <row r="1081" spans="8:13" ht="15" customHeight="1" x14ac:dyDescent="0.3">
      <c r="H1081" s="10" t="s">
        <v>3118</v>
      </c>
      <c r="I1081" s="11" t="s">
        <v>3119</v>
      </c>
      <c r="J1081" s="10" t="s">
        <v>2204</v>
      </c>
      <c r="K1081" s="11" t="s">
        <v>3122</v>
      </c>
      <c r="L1081" s="18">
        <f t="shared" si="32"/>
        <v>0.92</v>
      </c>
      <c r="M1081" s="15" t="str">
        <f t="shared" si="33"/>
        <v>9</v>
      </c>
    </row>
    <row r="1082" spans="8:13" ht="45" customHeight="1" x14ac:dyDescent="0.3">
      <c r="H1082" s="10" t="s">
        <v>3118</v>
      </c>
      <c r="I1082" s="11" t="s">
        <v>3119</v>
      </c>
      <c r="J1082" s="10" t="s">
        <v>1587</v>
      </c>
      <c r="K1082" s="11" t="s">
        <v>3123</v>
      </c>
      <c r="L1082" s="18">
        <f t="shared" si="32"/>
        <v>0.74</v>
      </c>
      <c r="M1082" s="15" t="str">
        <f t="shared" si="33"/>
        <v>9</v>
      </c>
    </row>
    <row r="1083" spans="8:13" ht="45" customHeight="1" x14ac:dyDescent="0.3">
      <c r="H1083" s="10" t="s">
        <v>3118</v>
      </c>
      <c r="I1083" s="11" t="s">
        <v>3119</v>
      </c>
      <c r="J1083" s="10" t="s">
        <v>2311</v>
      </c>
      <c r="K1083" s="11" t="s">
        <v>3124</v>
      </c>
      <c r="L1083" s="18">
        <f t="shared" si="32"/>
        <v>0.94</v>
      </c>
      <c r="M1083" s="15" t="str">
        <f t="shared" si="33"/>
        <v>9</v>
      </c>
    </row>
    <row r="1084" spans="8:13" ht="15" customHeight="1" x14ac:dyDescent="0.3">
      <c r="H1084" s="10" t="s">
        <v>3118</v>
      </c>
      <c r="I1084" s="11" t="s">
        <v>3119</v>
      </c>
      <c r="J1084" s="10" t="s">
        <v>1249</v>
      </c>
      <c r="K1084" s="11" t="s">
        <v>3125</v>
      </c>
      <c r="L1084" s="18">
        <f t="shared" si="32"/>
        <v>0.56999999999999995</v>
      </c>
      <c r="M1084" s="15" t="str">
        <f t="shared" si="33"/>
        <v>9</v>
      </c>
    </row>
    <row r="1085" spans="8:13" ht="30" customHeight="1" x14ac:dyDescent="0.3">
      <c r="H1085" s="10" t="s">
        <v>3118</v>
      </c>
      <c r="I1085" s="11" t="s">
        <v>3119</v>
      </c>
      <c r="J1085" s="10" t="s">
        <v>1530</v>
      </c>
      <c r="K1085" s="11" t="s">
        <v>3126</v>
      </c>
      <c r="L1085" s="18">
        <f t="shared" si="32"/>
        <v>0.72</v>
      </c>
      <c r="M1085" s="15" t="str">
        <f t="shared" si="33"/>
        <v>9</v>
      </c>
    </row>
    <row r="1086" spans="8:13" ht="30" customHeight="1" x14ac:dyDescent="0.3">
      <c r="H1086" s="10" t="s">
        <v>3118</v>
      </c>
      <c r="I1086" s="11" t="s">
        <v>3119</v>
      </c>
      <c r="J1086" s="10" t="s">
        <v>3114</v>
      </c>
      <c r="K1086" s="11" t="s">
        <v>3115</v>
      </c>
      <c r="L1086" s="18" t="str">
        <f t="shared" si="32"/>
        <v/>
      </c>
      <c r="M1086" s="15" t="str">
        <f t="shared" si="33"/>
        <v>9</v>
      </c>
    </row>
    <row r="1087" spans="8:13" ht="30" customHeight="1" x14ac:dyDescent="0.3">
      <c r="H1087" s="10" t="s">
        <v>3127</v>
      </c>
      <c r="I1087" s="11" t="s">
        <v>3128</v>
      </c>
      <c r="J1087" s="10" t="s">
        <v>1046</v>
      </c>
      <c r="K1087" s="11" t="s">
        <v>3129</v>
      </c>
      <c r="L1087" s="18">
        <f t="shared" si="32"/>
        <v>0.38</v>
      </c>
      <c r="M1087" s="15" t="str">
        <f t="shared" si="33"/>
        <v>9</v>
      </c>
    </row>
    <row r="1088" spans="8:13" ht="30" customHeight="1" x14ac:dyDescent="0.3">
      <c r="H1088" s="10" t="s">
        <v>3130</v>
      </c>
      <c r="I1088" s="11" t="s">
        <v>3131</v>
      </c>
      <c r="J1088" s="10" t="s">
        <v>1409</v>
      </c>
      <c r="K1088" s="11" t="s">
        <v>3132</v>
      </c>
      <c r="L1088" s="18">
        <f t="shared" si="32"/>
        <v>0.66</v>
      </c>
      <c r="M1088" s="15" t="str">
        <f t="shared" si="33"/>
        <v>9</v>
      </c>
    </row>
    <row r="1089" spans="8:13" ht="45" customHeight="1" x14ac:dyDescent="0.3">
      <c r="H1089" s="10" t="s">
        <v>3130</v>
      </c>
      <c r="I1089" s="11" t="s">
        <v>3131</v>
      </c>
      <c r="J1089" s="10" t="s">
        <v>3133</v>
      </c>
      <c r="K1089" s="11" t="s">
        <v>3134</v>
      </c>
      <c r="L1089" s="18" t="str">
        <f t="shared" si="32"/>
        <v/>
      </c>
      <c r="M1089" s="15" t="str">
        <f t="shared" si="33"/>
        <v>9</v>
      </c>
    </row>
    <row r="1090" spans="8:13" ht="30" customHeight="1" x14ac:dyDescent="0.3">
      <c r="H1090" s="10" t="s">
        <v>3130</v>
      </c>
      <c r="I1090" s="11" t="s">
        <v>3131</v>
      </c>
      <c r="J1090" s="10" t="s">
        <v>1866</v>
      </c>
      <c r="K1090" s="11" t="s">
        <v>3135</v>
      </c>
      <c r="L1090" s="18">
        <f t="shared" si="32"/>
        <v>0.85</v>
      </c>
      <c r="M1090" s="15" t="str">
        <f t="shared" si="33"/>
        <v>9</v>
      </c>
    </row>
    <row r="1091" spans="8:13" ht="15" customHeight="1" x14ac:dyDescent="0.3">
      <c r="H1091" s="10" t="s">
        <v>3130</v>
      </c>
      <c r="I1091" s="11" t="s">
        <v>3131</v>
      </c>
      <c r="J1091" s="10" t="s">
        <v>2235</v>
      </c>
      <c r="K1091" s="11" t="s">
        <v>3136</v>
      </c>
      <c r="L1091" s="18">
        <f t="shared" ref="L1091:L1127" si="34">IFERROR(INDEX($D$3:$D$704,MATCH(TRIM(J1091),$B$3:$B$704,0)),"")</f>
        <v>0.93</v>
      </c>
      <c r="M1091" s="15" t="str">
        <f t="shared" ref="M1091:M1127" si="35">LEFT(TEXT(H1091,"0000")*0.1)</f>
        <v>9</v>
      </c>
    </row>
    <row r="1092" spans="8:13" ht="30" customHeight="1" x14ac:dyDescent="0.3">
      <c r="H1092" s="10" t="s">
        <v>3137</v>
      </c>
      <c r="I1092" s="11" t="s">
        <v>3138</v>
      </c>
      <c r="J1092" s="10" t="s">
        <v>2231</v>
      </c>
      <c r="K1092" s="11" t="s">
        <v>2232</v>
      </c>
      <c r="L1092" s="18">
        <f t="shared" si="34"/>
        <v>0.94</v>
      </c>
      <c r="M1092" s="15" t="str">
        <f t="shared" si="35"/>
        <v>9</v>
      </c>
    </row>
    <row r="1093" spans="8:13" ht="30" customHeight="1" x14ac:dyDescent="0.3">
      <c r="H1093" s="10" t="s">
        <v>3137</v>
      </c>
      <c r="I1093" s="11" t="s">
        <v>3138</v>
      </c>
      <c r="J1093" s="10" t="s">
        <v>3139</v>
      </c>
      <c r="K1093" s="11" t="s">
        <v>3140</v>
      </c>
      <c r="L1093" s="18" t="str">
        <f t="shared" si="34"/>
        <v/>
      </c>
      <c r="M1093" s="15" t="str">
        <f t="shared" si="35"/>
        <v>9</v>
      </c>
    </row>
    <row r="1094" spans="8:13" ht="30" customHeight="1" x14ac:dyDescent="0.3">
      <c r="H1094" s="10" t="s">
        <v>3137</v>
      </c>
      <c r="I1094" s="11" t="s">
        <v>3138</v>
      </c>
      <c r="J1094" s="10" t="s">
        <v>3141</v>
      </c>
      <c r="K1094" s="11" t="s">
        <v>3142</v>
      </c>
      <c r="L1094" s="18" t="str">
        <f t="shared" si="34"/>
        <v/>
      </c>
      <c r="M1094" s="15" t="str">
        <f t="shared" si="35"/>
        <v>9</v>
      </c>
    </row>
    <row r="1095" spans="8:13" ht="30" customHeight="1" x14ac:dyDescent="0.3">
      <c r="H1095" s="10" t="s">
        <v>3143</v>
      </c>
      <c r="I1095" s="11" t="s">
        <v>3144</v>
      </c>
      <c r="J1095" s="10" t="s">
        <v>3139</v>
      </c>
      <c r="K1095" s="11" t="s">
        <v>3140</v>
      </c>
      <c r="L1095" s="18" t="str">
        <f t="shared" si="34"/>
        <v/>
      </c>
      <c r="M1095" s="15" t="str">
        <f t="shared" si="35"/>
        <v>9</v>
      </c>
    </row>
    <row r="1096" spans="8:13" ht="30" customHeight="1" x14ac:dyDescent="0.3">
      <c r="H1096" s="10" t="s">
        <v>3143</v>
      </c>
      <c r="I1096" s="11" t="s">
        <v>3144</v>
      </c>
      <c r="J1096" s="10" t="s">
        <v>3141</v>
      </c>
      <c r="K1096" s="11" t="s">
        <v>3142</v>
      </c>
      <c r="L1096" s="18" t="str">
        <f t="shared" si="34"/>
        <v/>
      </c>
      <c r="M1096" s="15" t="str">
        <f t="shared" si="35"/>
        <v>9</v>
      </c>
    </row>
    <row r="1097" spans="8:13" ht="45" customHeight="1" x14ac:dyDescent="0.3">
      <c r="H1097" s="10" t="s">
        <v>3145</v>
      </c>
      <c r="I1097" s="11" t="s">
        <v>3146</v>
      </c>
      <c r="J1097" s="10" t="s">
        <v>615</v>
      </c>
      <c r="K1097" s="11" t="s">
        <v>3147</v>
      </c>
      <c r="L1097" s="18">
        <f t="shared" si="34"/>
        <v>6.6000000000000003E-2</v>
      </c>
      <c r="M1097" s="15" t="str">
        <f t="shared" si="35"/>
        <v>9</v>
      </c>
    </row>
    <row r="1098" spans="8:13" ht="45" customHeight="1" x14ac:dyDescent="0.3">
      <c r="H1098" s="10" t="s">
        <v>3145</v>
      </c>
      <c r="I1098" s="11" t="s">
        <v>3146</v>
      </c>
      <c r="J1098" s="10" t="s">
        <v>1108</v>
      </c>
      <c r="K1098" s="11" t="s">
        <v>3148</v>
      </c>
      <c r="L1098" s="18">
        <f t="shared" si="34"/>
        <v>0.42</v>
      </c>
      <c r="M1098" s="15" t="str">
        <f t="shared" si="35"/>
        <v>9</v>
      </c>
    </row>
    <row r="1099" spans="8:13" ht="30" customHeight="1" x14ac:dyDescent="0.3">
      <c r="H1099" s="10" t="s">
        <v>3145</v>
      </c>
      <c r="I1099" s="11" t="s">
        <v>3146</v>
      </c>
      <c r="J1099" s="10" t="s">
        <v>1866</v>
      </c>
      <c r="K1099" s="11" t="s">
        <v>3135</v>
      </c>
      <c r="L1099" s="18">
        <f t="shared" si="34"/>
        <v>0.85</v>
      </c>
      <c r="M1099" s="15" t="str">
        <f t="shared" si="35"/>
        <v>9</v>
      </c>
    </row>
    <row r="1100" spans="8:13" ht="30" customHeight="1" x14ac:dyDescent="0.3">
      <c r="H1100" s="10" t="s">
        <v>3145</v>
      </c>
      <c r="I1100" s="11" t="s">
        <v>3146</v>
      </c>
      <c r="J1100" s="10" t="s">
        <v>1533</v>
      </c>
      <c r="K1100" s="11" t="s">
        <v>3149</v>
      </c>
      <c r="L1100" s="18">
        <f t="shared" si="34"/>
        <v>0.72</v>
      </c>
      <c r="M1100" s="15" t="str">
        <f t="shared" si="35"/>
        <v>9</v>
      </c>
    </row>
    <row r="1101" spans="8:13" ht="15" customHeight="1" x14ac:dyDescent="0.3">
      <c r="H1101" s="10" t="s">
        <v>3150</v>
      </c>
      <c r="I1101" s="11" t="s">
        <v>3151</v>
      </c>
      <c r="J1101" s="10" t="s">
        <v>1365</v>
      </c>
      <c r="K1101" s="11" t="s">
        <v>2203</v>
      </c>
      <c r="L1101" s="18">
        <f t="shared" si="34"/>
        <v>0.64</v>
      </c>
      <c r="M1101" s="15" t="str">
        <f t="shared" si="35"/>
        <v>9</v>
      </c>
    </row>
    <row r="1102" spans="8:13" ht="15" customHeight="1" x14ac:dyDescent="0.3">
      <c r="H1102" s="10" t="s">
        <v>3152</v>
      </c>
      <c r="I1102" s="11" t="s">
        <v>3153</v>
      </c>
      <c r="J1102" s="10" t="s">
        <v>1708</v>
      </c>
      <c r="K1102" s="11" t="s">
        <v>3154</v>
      </c>
      <c r="L1102" s="18">
        <f t="shared" si="34"/>
        <v>0.81</v>
      </c>
      <c r="M1102" s="15" t="str">
        <f t="shared" si="35"/>
        <v>9</v>
      </c>
    </row>
    <row r="1103" spans="8:13" ht="30" customHeight="1" x14ac:dyDescent="0.3">
      <c r="H1103" s="10" t="s">
        <v>3152</v>
      </c>
      <c r="I1103" s="11" t="s">
        <v>3153</v>
      </c>
      <c r="J1103" s="10" t="s">
        <v>2304</v>
      </c>
      <c r="K1103" s="11" t="s">
        <v>2319</v>
      </c>
      <c r="L1103" s="18">
        <f t="shared" si="34"/>
        <v>0.94</v>
      </c>
      <c r="M1103" s="15" t="str">
        <f t="shared" si="35"/>
        <v>9</v>
      </c>
    </row>
    <row r="1104" spans="8:13" ht="45" customHeight="1" x14ac:dyDescent="0.3">
      <c r="H1104" s="11" t="s">
        <v>3155</v>
      </c>
      <c r="I1104" s="11" t="s">
        <v>3156</v>
      </c>
      <c r="J1104" s="11" t="s">
        <v>1953</v>
      </c>
      <c r="K1104" s="11" t="s">
        <v>3157</v>
      </c>
      <c r="L1104" s="18">
        <f t="shared" si="34"/>
        <v>0.87</v>
      </c>
      <c r="M1104" s="15" t="str">
        <f t="shared" si="35"/>
        <v>9</v>
      </c>
    </row>
    <row r="1105" spans="8:13" ht="15" customHeight="1" x14ac:dyDescent="0.3">
      <c r="H1105" s="10" t="s">
        <v>3155</v>
      </c>
      <c r="I1105" s="11" t="s">
        <v>3156</v>
      </c>
      <c r="J1105" s="10" t="s">
        <v>2134</v>
      </c>
      <c r="K1105" s="11" t="s">
        <v>2490</v>
      </c>
      <c r="L1105" s="18">
        <f t="shared" si="34"/>
        <v>0.91</v>
      </c>
      <c r="M1105" s="15" t="str">
        <f t="shared" si="35"/>
        <v>9</v>
      </c>
    </row>
    <row r="1106" spans="8:13" ht="45" customHeight="1" x14ac:dyDescent="0.3">
      <c r="H1106" s="10" t="s">
        <v>3155</v>
      </c>
      <c r="I1106" s="11" t="s">
        <v>3156</v>
      </c>
      <c r="J1106" s="10" t="s">
        <v>1638</v>
      </c>
      <c r="K1106" s="11" t="s">
        <v>1639</v>
      </c>
      <c r="L1106" s="18">
        <f t="shared" si="34"/>
        <v>0.77</v>
      </c>
      <c r="M1106" s="15" t="str">
        <f t="shared" si="35"/>
        <v>9</v>
      </c>
    </row>
    <row r="1107" spans="8:13" ht="45" customHeight="1" x14ac:dyDescent="0.3">
      <c r="H1107" s="10" t="s">
        <v>3155</v>
      </c>
      <c r="I1107" s="11" t="s">
        <v>3156</v>
      </c>
      <c r="J1107" s="10" t="s">
        <v>3158</v>
      </c>
      <c r="K1107" s="11" t="s">
        <v>3159</v>
      </c>
      <c r="L1107" s="18" t="str">
        <f t="shared" si="34"/>
        <v/>
      </c>
      <c r="M1107" s="15" t="str">
        <f t="shared" si="35"/>
        <v>9</v>
      </c>
    </row>
    <row r="1108" spans="8:13" ht="60" customHeight="1" x14ac:dyDescent="0.3">
      <c r="H1108" s="10" t="s">
        <v>3160</v>
      </c>
      <c r="I1108" s="11" t="s">
        <v>3161</v>
      </c>
      <c r="J1108" s="10" t="s">
        <v>2366</v>
      </c>
      <c r="K1108" s="11" t="s">
        <v>2367</v>
      </c>
      <c r="L1108" s="18" t="str">
        <f t="shared" si="34"/>
        <v/>
      </c>
      <c r="M1108" s="15" t="str">
        <f t="shared" si="35"/>
        <v>9</v>
      </c>
    </row>
    <row r="1109" spans="8:13" ht="60" customHeight="1" x14ac:dyDescent="0.3">
      <c r="H1109" s="10" t="s">
        <v>3162</v>
      </c>
      <c r="I1109" s="11" t="s">
        <v>3163</v>
      </c>
      <c r="J1109" s="10" t="s">
        <v>2320</v>
      </c>
      <c r="K1109" s="11" t="s">
        <v>2424</v>
      </c>
      <c r="L1109" s="18">
        <f t="shared" si="34"/>
        <v>0.94</v>
      </c>
      <c r="M1109" s="15" t="str">
        <f t="shared" si="35"/>
        <v>9</v>
      </c>
    </row>
    <row r="1110" spans="8:13" ht="30" customHeight="1" x14ac:dyDescent="0.3">
      <c r="H1110" s="10" t="s">
        <v>3164</v>
      </c>
      <c r="I1110" s="11" t="s">
        <v>3165</v>
      </c>
      <c r="J1110" s="10" t="s">
        <v>439</v>
      </c>
      <c r="K1110" s="11" t="s">
        <v>1455</v>
      </c>
      <c r="L1110" s="18">
        <f t="shared" si="34"/>
        <v>2.9000000000000001E-2</v>
      </c>
      <c r="M1110" s="15" t="str">
        <f t="shared" si="35"/>
        <v>9</v>
      </c>
    </row>
    <row r="1111" spans="8:13" ht="30" customHeight="1" x14ac:dyDescent="0.3">
      <c r="H1111" s="10" t="s">
        <v>3164</v>
      </c>
      <c r="I1111" s="11" t="s">
        <v>3165</v>
      </c>
      <c r="J1111" s="10" t="s">
        <v>2254</v>
      </c>
      <c r="K1111" s="11" t="s">
        <v>3166</v>
      </c>
      <c r="L1111" s="18">
        <f t="shared" si="34"/>
        <v>0.93</v>
      </c>
      <c r="M1111" s="15" t="str">
        <f t="shared" si="35"/>
        <v>9</v>
      </c>
    </row>
    <row r="1112" spans="8:13" ht="30" customHeight="1" x14ac:dyDescent="0.3">
      <c r="H1112" s="10" t="s">
        <v>3167</v>
      </c>
      <c r="I1112" s="11" t="s">
        <v>3168</v>
      </c>
      <c r="J1112" s="10" t="s">
        <v>2254</v>
      </c>
      <c r="K1112" s="11" t="s">
        <v>3166</v>
      </c>
      <c r="L1112" s="18">
        <f t="shared" si="34"/>
        <v>0.93</v>
      </c>
      <c r="M1112" s="15" t="str">
        <f t="shared" si="35"/>
        <v>9</v>
      </c>
    </row>
    <row r="1113" spans="8:13" ht="30" customHeight="1" x14ac:dyDescent="0.3">
      <c r="H1113" s="10" t="s">
        <v>3169</v>
      </c>
      <c r="I1113" s="11" t="s">
        <v>3170</v>
      </c>
      <c r="J1113" s="10" t="s">
        <v>3101</v>
      </c>
      <c r="K1113" s="11" t="s">
        <v>3102</v>
      </c>
      <c r="L1113" s="18" t="str">
        <f t="shared" si="34"/>
        <v/>
      </c>
      <c r="M1113" s="15" t="str">
        <f t="shared" si="35"/>
        <v>9</v>
      </c>
    </row>
    <row r="1114" spans="8:13" ht="30" customHeight="1" x14ac:dyDescent="0.3">
      <c r="H1114" s="10" t="s">
        <v>3171</v>
      </c>
      <c r="I1114" s="11" t="s">
        <v>3172</v>
      </c>
      <c r="J1114" s="10" t="s">
        <v>1809</v>
      </c>
      <c r="K1114" s="11" t="s">
        <v>3173</v>
      </c>
      <c r="L1114" s="18">
        <f t="shared" si="34"/>
        <v>0.83</v>
      </c>
      <c r="M1114" s="15" t="str">
        <f t="shared" si="35"/>
        <v>9</v>
      </c>
    </row>
    <row r="1115" spans="8:13" ht="30" customHeight="1" x14ac:dyDescent="0.3">
      <c r="H1115" s="10" t="s">
        <v>3171</v>
      </c>
      <c r="I1115" s="11" t="s">
        <v>3172</v>
      </c>
      <c r="J1115" s="10" t="s">
        <v>2231</v>
      </c>
      <c r="K1115" s="11" t="s">
        <v>2232</v>
      </c>
      <c r="L1115" s="18">
        <f t="shared" si="34"/>
        <v>0.94</v>
      </c>
      <c r="M1115" s="15" t="str">
        <f t="shared" si="35"/>
        <v>9</v>
      </c>
    </row>
    <row r="1116" spans="8:13" ht="30" customHeight="1" x14ac:dyDescent="0.3">
      <c r="H1116" s="10" t="s">
        <v>3174</v>
      </c>
      <c r="I1116" s="11" t="s">
        <v>3175</v>
      </c>
      <c r="J1116" s="10" t="s">
        <v>3101</v>
      </c>
      <c r="K1116" s="11" t="s">
        <v>3102</v>
      </c>
      <c r="L1116" s="18" t="str">
        <f t="shared" si="34"/>
        <v/>
      </c>
      <c r="M1116" s="15" t="str">
        <f t="shared" si="35"/>
        <v>9</v>
      </c>
    </row>
    <row r="1117" spans="8:13" ht="45" customHeight="1" x14ac:dyDescent="0.3">
      <c r="H1117" s="10" t="s">
        <v>3174</v>
      </c>
      <c r="I1117" s="11" t="s">
        <v>3175</v>
      </c>
      <c r="J1117" s="10" t="s">
        <v>1357</v>
      </c>
      <c r="K1117" s="11" t="s">
        <v>3176</v>
      </c>
      <c r="L1117" s="18">
        <f t="shared" si="34"/>
        <v>0.64</v>
      </c>
      <c r="M1117" s="15" t="str">
        <f t="shared" si="35"/>
        <v>9</v>
      </c>
    </row>
    <row r="1118" spans="8:13" ht="45" customHeight="1" x14ac:dyDescent="0.3">
      <c r="H1118" s="10" t="s">
        <v>3174</v>
      </c>
      <c r="I1118" s="11" t="s">
        <v>3175</v>
      </c>
      <c r="J1118" s="10" t="s">
        <v>1679</v>
      </c>
      <c r="K1118" s="11" t="s">
        <v>3177</v>
      </c>
      <c r="L1118" s="18">
        <f t="shared" si="34"/>
        <v>0.79</v>
      </c>
      <c r="M1118" s="15" t="str">
        <f t="shared" si="35"/>
        <v>9</v>
      </c>
    </row>
    <row r="1119" spans="8:13" ht="30" customHeight="1" x14ac:dyDescent="0.3">
      <c r="H1119" s="10" t="s">
        <v>3174</v>
      </c>
      <c r="I1119" s="11" t="s">
        <v>3175</v>
      </c>
      <c r="J1119" s="10" t="s">
        <v>3178</v>
      </c>
      <c r="K1119" s="11" t="s">
        <v>3179</v>
      </c>
      <c r="L1119" s="18" t="str">
        <f t="shared" si="34"/>
        <v/>
      </c>
      <c r="M1119" s="15" t="str">
        <f t="shared" si="35"/>
        <v>9</v>
      </c>
    </row>
    <row r="1120" spans="8:13" ht="45" customHeight="1" x14ac:dyDescent="0.3">
      <c r="H1120" s="10" t="s">
        <v>3180</v>
      </c>
      <c r="I1120" s="11" t="s">
        <v>3181</v>
      </c>
      <c r="J1120" s="10" t="s">
        <v>1872</v>
      </c>
      <c r="K1120" s="11" t="s">
        <v>3182</v>
      </c>
      <c r="L1120" s="18">
        <f t="shared" si="34"/>
        <v>0.85</v>
      </c>
      <c r="M1120" s="15" t="str">
        <f t="shared" si="35"/>
        <v>9</v>
      </c>
    </row>
    <row r="1121" spans="8:13" ht="45" customHeight="1" x14ac:dyDescent="0.3">
      <c r="H1121" s="10" t="s">
        <v>3180</v>
      </c>
      <c r="I1121" s="11" t="s">
        <v>3181</v>
      </c>
      <c r="J1121" s="10" t="s">
        <v>2295</v>
      </c>
      <c r="K1121" s="11" t="s">
        <v>3183</v>
      </c>
      <c r="L1121" s="18">
        <f t="shared" si="34"/>
        <v>0.94</v>
      </c>
      <c r="M1121" s="15" t="str">
        <f t="shared" si="35"/>
        <v>9</v>
      </c>
    </row>
    <row r="1122" spans="8:13" ht="30" customHeight="1" x14ac:dyDescent="0.3">
      <c r="H1122" s="10" t="s">
        <v>3184</v>
      </c>
      <c r="I1122" s="11" t="s">
        <v>3185</v>
      </c>
      <c r="J1122" s="10" t="s">
        <v>1866</v>
      </c>
      <c r="K1122" s="11" t="s">
        <v>3135</v>
      </c>
      <c r="L1122" s="18">
        <f t="shared" si="34"/>
        <v>0.85</v>
      </c>
      <c r="M1122" s="15" t="str">
        <f t="shared" si="35"/>
        <v>9</v>
      </c>
    </row>
    <row r="1123" spans="8:13" ht="30" customHeight="1" x14ac:dyDescent="0.3">
      <c r="H1123" s="10" t="s">
        <v>3186</v>
      </c>
      <c r="I1123" s="11" t="s">
        <v>3187</v>
      </c>
      <c r="J1123" s="10" t="s">
        <v>2497</v>
      </c>
      <c r="K1123" s="11" t="s">
        <v>3188</v>
      </c>
      <c r="L1123" s="18">
        <f t="shared" si="34"/>
        <v>0.97</v>
      </c>
      <c r="M1123" s="15" t="str">
        <f t="shared" si="35"/>
        <v>9</v>
      </c>
    </row>
    <row r="1124" spans="8:13" ht="30" customHeight="1" x14ac:dyDescent="0.3">
      <c r="H1124" s="10" t="s">
        <v>3186</v>
      </c>
      <c r="I1124" s="11" t="s">
        <v>3187</v>
      </c>
      <c r="J1124" s="10" t="s">
        <v>2428</v>
      </c>
      <c r="K1124" s="11" t="s">
        <v>3189</v>
      </c>
      <c r="L1124" s="18">
        <f t="shared" si="34"/>
        <v>0.96</v>
      </c>
      <c r="M1124" s="15" t="str">
        <f t="shared" si="35"/>
        <v>9</v>
      </c>
    </row>
    <row r="1125" spans="8:13" ht="45" customHeight="1" x14ac:dyDescent="0.3">
      <c r="H1125" s="10" t="s">
        <v>3186</v>
      </c>
      <c r="I1125" s="11" t="s">
        <v>3187</v>
      </c>
      <c r="J1125" s="10" t="s">
        <v>1522</v>
      </c>
      <c r="K1125" s="11" t="s">
        <v>3063</v>
      </c>
      <c r="L1125" s="18">
        <f t="shared" si="34"/>
        <v>0.72</v>
      </c>
      <c r="M1125" s="15" t="str">
        <f t="shared" si="35"/>
        <v>9</v>
      </c>
    </row>
    <row r="1126" spans="8:13" ht="30" customHeight="1" x14ac:dyDescent="0.3">
      <c r="H1126" s="10" t="s">
        <v>3186</v>
      </c>
      <c r="I1126" s="11" t="s">
        <v>3187</v>
      </c>
      <c r="J1126" s="10" t="s">
        <v>1111</v>
      </c>
      <c r="K1126" s="11" t="s">
        <v>3190</v>
      </c>
      <c r="L1126" s="18">
        <f t="shared" si="34"/>
        <v>0.43</v>
      </c>
      <c r="M1126" s="15" t="str">
        <f t="shared" si="35"/>
        <v>9</v>
      </c>
    </row>
    <row r="1127" spans="8:13" ht="30" x14ac:dyDescent="0.3">
      <c r="H1127" s="10" t="s">
        <v>3186</v>
      </c>
      <c r="I1127" s="11" t="s">
        <v>3187</v>
      </c>
      <c r="J1127" s="10" t="s">
        <v>1960</v>
      </c>
      <c r="K1127" s="11" t="s">
        <v>3191</v>
      </c>
      <c r="L1127" s="18">
        <f t="shared" si="34"/>
        <v>0.87</v>
      </c>
      <c r="M1127" s="15" t="str">
        <f t="shared" si="35"/>
        <v>9</v>
      </c>
    </row>
  </sheetData>
  <autoFilter ref="A1:E703" xr:uid="{00000000-0009-0000-0000-000000000000}"/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Automatizace koef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xnetreba@mendelu.cz</dc:creator>
  <dc:description/>
  <cp:lastModifiedBy>Oleksii Netreba</cp:lastModifiedBy>
  <cp:revision>0</cp:revision>
  <dcterms:created xsi:type="dcterms:W3CDTF">2026-04-23T18:17:15Z</dcterms:created>
  <dcterms:modified xsi:type="dcterms:W3CDTF">2026-04-28T11:47:01Z</dcterms:modified>
  <dc:language>en-US</dc:language>
</cp:coreProperties>
</file>